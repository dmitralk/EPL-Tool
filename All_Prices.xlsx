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itr\OneDrive\Documents\() Dev\EPL-Tool\"/>
    </mc:Choice>
  </mc:AlternateContent>
  <xr:revisionPtr revIDLastSave="0" documentId="13_ncr:1_{B2646B75-19A5-488E-9CBB-BB5527B8D6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dmin" sheetId="5" r:id="rId1"/>
    <sheet name="Prices Database" sheetId="1" r:id="rId2"/>
    <sheet name="Packaging Masterdata" sheetId="2" r:id="rId3"/>
    <sheet name="Customers Masterdata" sheetId="3" r:id="rId4"/>
    <sheet name="Standard EPL" sheetId="6" r:id="rId5"/>
    <sheet name="Products Masterdata" sheetId="4" r:id="rId6"/>
  </sheets>
  <definedNames>
    <definedName name="_xlnm._FilterDatabase" localSheetId="1" hidden="1">'Prices Database'!$A$1:$P$992</definedName>
    <definedName name="V_Email_PBPCommon">Admin!$C$5</definedName>
    <definedName name="V_Email_PBPCostingManager">Admin!$C$6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T4" i="3"/>
  <c r="S4" i="3"/>
  <c r="J100" i="1"/>
  <c r="E100" i="1"/>
  <c r="T3" i="3"/>
  <c r="S2" i="3"/>
  <c r="S3" i="3"/>
  <c r="T2" i="3"/>
  <c r="J99" i="1"/>
  <c r="E99" i="1"/>
  <c r="J98" i="1"/>
  <c r="E98" i="1"/>
  <c r="J97" i="1"/>
  <c r="E97" i="1"/>
  <c r="J96" i="1"/>
  <c r="E96" i="1"/>
  <c r="J95" i="1"/>
  <c r="E95" i="1"/>
  <c r="J94" i="1"/>
  <c r="E94" i="1"/>
  <c r="J93" i="1"/>
  <c r="E93" i="1"/>
  <c r="J92" i="1"/>
  <c r="E92" i="1"/>
  <c r="J91" i="1"/>
  <c r="E91" i="1"/>
  <c r="J90" i="1"/>
  <c r="E90" i="1"/>
  <c r="J89" i="1"/>
  <c r="E89" i="1"/>
  <c r="P3" i="3"/>
  <c r="P2" i="3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<sst xmlns="http://schemas.openxmlformats.org/spreadsheetml/2006/main" count="1525" uniqueCount="186">
  <si>
    <t>Product type</t>
  </si>
  <si>
    <t>RIP code</t>
  </si>
  <si>
    <t>Product</t>
  </si>
  <si>
    <r>
      <t xml:space="preserve">Net price
</t>
    </r>
    <r>
      <rPr>
        <b/>
        <sz val="10"/>
        <color theme="0"/>
        <rFont val="Calibri"/>
        <family val="2"/>
        <scheme val="minor"/>
      </rPr>
      <t>(Currency / Unit)</t>
    </r>
  </si>
  <si>
    <t>Currency</t>
  </si>
  <si>
    <t>Unit</t>
  </si>
  <si>
    <t>Mailing date</t>
  </si>
  <si>
    <t>Effective</t>
  </si>
  <si>
    <t>Price List Version</t>
  </si>
  <si>
    <t>Bill to Code</t>
  </si>
  <si>
    <t>Plant</t>
  </si>
  <si>
    <t>Additives</t>
  </si>
  <si>
    <t>EAL</t>
  </si>
  <si>
    <t>Mineral auxiliary</t>
  </si>
  <si>
    <t>Synthetic auxiliary</t>
  </si>
  <si>
    <t>DO5</t>
  </si>
  <si>
    <t>USD</t>
  </si>
  <si>
    <t>100 KG</t>
  </si>
  <si>
    <t>100 L</t>
  </si>
  <si>
    <t> </t>
  </si>
  <si>
    <t>Packaging charge</t>
  </si>
  <si>
    <t>Packaging charge for IBC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</si>
  <si>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</si>
  <si>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</si>
  <si>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</si>
  <si>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</si>
  <si>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</si>
  <si>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</si>
  <si>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</si>
  <si>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Packagin Version</t>
  </si>
  <si>
    <t>V2</t>
  </si>
  <si>
    <t>Main grades</t>
  </si>
  <si>
    <t>EUR</t>
  </si>
  <si>
    <t>Zone</t>
  </si>
  <si>
    <t>Country</t>
  </si>
  <si>
    <t>Customer Type</t>
  </si>
  <si>
    <t>Customer ref. type SAP</t>
  </si>
  <si>
    <t>Customer ref. SAP</t>
  </si>
  <si>
    <t>Partner</t>
  </si>
  <si>
    <t>Last Price List Version</t>
  </si>
  <si>
    <t>PBP</t>
  </si>
  <si>
    <t>Pice List Managed by</t>
  </si>
  <si>
    <t>Customer SPOC</t>
  </si>
  <si>
    <t>APAC Business Dev</t>
  </si>
  <si>
    <t>V1</t>
  </si>
  <si>
    <t>Comment on Business Model</t>
  </si>
  <si>
    <t>SEMEIA Business Dev</t>
  </si>
  <si>
    <t>Affiliate</t>
  </si>
  <si>
    <t>New Product</t>
  </si>
  <si>
    <t>EUR-Standard</t>
  </si>
  <si>
    <t>SAP Plant</t>
  </si>
  <si>
    <t>Customer Full Name</t>
  </si>
  <si>
    <t>Customer Short Name</t>
  </si>
  <si>
    <t>Customer A</t>
  </si>
  <si>
    <t>Customer B</t>
  </si>
  <si>
    <t>Cust A</t>
  </si>
  <si>
    <t>Cust B</t>
  </si>
  <si>
    <t>USD-Standard</t>
  </si>
  <si>
    <t>XXXXX1</t>
  </si>
  <si>
    <t>XXXXX2</t>
  </si>
  <si>
    <t>Blending and Distribution in Country A</t>
  </si>
  <si>
    <t>Distribution in Country B</t>
  </si>
  <si>
    <t>A-Zone</t>
  </si>
  <si>
    <t>B-Zone</t>
  </si>
  <si>
    <t>Country A</t>
  </si>
  <si>
    <t>Country B</t>
  </si>
  <si>
    <t xml:space="preserve">customerApersonBX@email.com; customerAPersonBX@email.com; </t>
  </si>
  <si>
    <t>customerBpersonA@email.com;</t>
  </si>
  <si>
    <t>internalpersonC@internal.com;</t>
  </si>
  <si>
    <t>internalpersonA@internal.com; internalpersonB@internal.com;</t>
  </si>
  <si>
    <t>examplePBPCommon.email@example.com</t>
  </si>
  <si>
    <t>Product Type</t>
  </si>
  <si>
    <t>Packaging Name</t>
  </si>
  <si>
    <t>Price</t>
  </si>
  <si>
    <t>DO1</t>
  </si>
  <si>
    <t>PRODUCT 1</t>
  </si>
  <si>
    <t>DO2</t>
  </si>
  <si>
    <t>PRODUCT 2</t>
  </si>
  <si>
    <t>DO3</t>
  </si>
  <si>
    <t>PRODUCT 3</t>
  </si>
  <si>
    <t>DO4</t>
  </si>
  <si>
    <t>PRODUCT 4</t>
  </si>
  <si>
    <t>PRODUCT 5</t>
  </si>
  <si>
    <t>DO6</t>
  </si>
  <si>
    <t>PRODUCT 6</t>
  </si>
  <si>
    <t>DO7</t>
  </si>
  <si>
    <t>PRODUCT 7</t>
  </si>
  <si>
    <t>DO8</t>
  </si>
  <si>
    <t>PRODUCT 8</t>
  </si>
  <si>
    <t>DO9</t>
  </si>
  <si>
    <t>PRODUCT 9</t>
  </si>
  <si>
    <t>DO10</t>
  </si>
  <si>
    <t>PRODUCT 10</t>
  </si>
  <si>
    <t>DO11</t>
  </si>
  <si>
    <t>PRODUCT 11</t>
  </si>
  <si>
    <t>DO12</t>
  </si>
  <si>
    <t>PRODUCT 12</t>
  </si>
  <si>
    <t>DO13</t>
  </si>
  <si>
    <t>PRODUCT 13</t>
  </si>
  <si>
    <t>QS1</t>
  </si>
  <si>
    <t>PRODUCT 14</t>
  </si>
  <si>
    <t>QS2</t>
  </si>
  <si>
    <t>PRODUCT 15</t>
  </si>
  <si>
    <t>QS3</t>
  </si>
  <si>
    <t>PRODUCT 16</t>
  </si>
  <si>
    <t>QS4</t>
  </si>
  <si>
    <t>PRODUCT 17</t>
  </si>
  <si>
    <t>QS5</t>
  </si>
  <si>
    <t>PRODUCT 18</t>
  </si>
  <si>
    <t>QS6</t>
  </si>
  <si>
    <t>PRODUCT 19</t>
  </si>
  <si>
    <t>QS7</t>
  </si>
  <si>
    <t>PRODUCT 20</t>
  </si>
  <si>
    <t>QS8</t>
  </si>
  <si>
    <t>PRODUCT 21</t>
  </si>
  <si>
    <t>QS9</t>
  </si>
  <si>
    <t>PRODUCT 22</t>
  </si>
  <si>
    <t>QS10</t>
  </si>
  <si>
    <t>PRODUCT 23</t>
  </si>
  <si>
    <t>QS11</t>
  </si>
  <si>
    <t>PRODUCT 24</t>
  </si>
  <si>
    <t>QS12</t>
  </si>
  <si>
    <t>PRODUCT 25</t>
  </si>
  <si>
    <t>QS13</t>
  </si>
  <si>
    <t>PRODUCT 26</t>
  </si>
  <si>
    <t>QS14</t>
  </si>
  <si>
    <t>PRODUCT 27</t>
  </si>
  <si>
    <t>QS15</t>
  </si>
  <si>
    <t>PRODUCT 28</t>
  </si>
  <si>
    <t>QS16</t>
  </si>
  <si>
    <t>PRODUCT 29</t>
  </si>
  <si>
    <t>QS17</t>
  </si>
  <si>
    <t>PRODUCT 30</t>
  </si>
  <si>
    <t>QS18</t>
  </si>
  <si>
    <t>PRODUCT 31</t>
  </si>
  <si>
    <t>QS19</t>
  </si>
  <si>
    <t>PRODUCT 32</t>
  </si>
  <si>
    <t>QS20</t>
  </si>
  <si>
    <t>PRODUCT 33</t>
  </si>
  <si>
    <t>QS21</t>
  </si>
  <si>
    <t>PRODUCT 34</t>
  </si>
  <si>
    <t>QS22</t>
  </si>
  <si>
    <t>PRODUCT 35</t>
  </si>
  <si>
    <t>QS23</t>
  </si>
  <si>
    <t>PRODUCT 36</t>
  </si>
  <si>
    <t>QS24</t>
  </si>
  <si>
    <t>PRODUCT 37</t>
  </si>
  <si>
    <t>QS25</t>
  </si>
  <si>
    <t>PRODUCT 38</t>
  </si>
  <si>
    <t>QS26</t>
  </si>
  <si>
    <t>PRODUCT 39</t>
  </si>
  <si>
    <t>QS27</t>
  </si>
  <si>
    <t>PRODUCT 40</t>
  </si>
  <si>
    <t>QS28</t>
  </si>
  <si>
    <t>PRODUCT 41</t>
  </si>
  <si>
    <t>QS29</t>
  </si>
  <si>
    <t>PRODUCT 42</t>
  </si>
  <si>
    <t>QS30</t>
  </si>
  <si>
    <t>PRODUCT 43</t>
  </si>
  <si>
    <t>QS31</t>
  </si>
  <si>
    <t>PRODUCT 44</t>
  </si>
  <si>
    <t>QS32</t>
  </si>
  <si>
    <t>PRODUCT 45</t>
  </si>
  <si>
    <t>No Changes</t>
  </si>
  <si>
    <t>Comments about Changes</t>
  </si>
  <si>
    <t>X22</t>
  </si>
  <si>
    <t>Price List ID</t>
  </si>
  <si>
    <t>Last Price List ID</t>
  </si>
  <si>
    <t>PBP Costing Manager</t>
  </si>
  <si>
    <t>PBP Common Mail Box</t>
  </si>
  <si>
    <t>Email</t>
  </si>
  <si>
    <t>Email Name</t>
  </si>
  <si>
    <t>internalpersonPBP@internal.com</t>
  </si>
  <si>
    <t>If Type Discount - Discount %</t>
  </si>
  <si>
    <t>Discount</t>
  </si>
  <si>
    <t>Price Type (Discount, Net Price)</t>
  </si>
  <si>
    <t>Net Price</t>
  </si>
  <si>
    <t>Internal COPY: SPOC + RZM + Other</t>
  </si>
  <si>
    <t>Mailing TO: Customer</t>
  </si>
  <si>
    <t>COPY to: PBP common mail box</t>
  </si>
  <si>
    <t>Internal COPY to: PBP (Costing manager)</t>
  </si>
  <si>
    <t>XXXXX3</t>
  </si>
  <si>
    <t>Cust GBP</t>
  </si>
  <si>
    <t>GBP</t>
  </si>
  <si>
    <t>GBP-Standard</t>
  </si>
  <si>
    <t>Customer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</si>
</sst>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\-mmm\-yy;@"/>
    <numFmt numFmtId="166" formatCode="m/d/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164" fontId="3" fillId="2" borderId="0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0" fontId="7" fillId="0" borderId="0" xfId="2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 vertical="top"/>
    </xf>
    <xf numFmtId="165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9" fontId="0" fillId="0" borderId="0" xfId="0" applyNumberForma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6" fontId="0" fillId="0" borderId="0" xfId="0" applyNumberFormat="1" applyBorder="1" applyAlignment="1">
      <alignment horizontal="center" vertical="center"/>
    </xf>
    <xf numFmtId="166" fontId="0" fillId="0" borderId="0" xfId="0" applyNumberFormat="1" applyBorder="1"/>
    <xf numFmtId="0" fontId="0" fillId="0" borderId="3" xfId="0" applyNumberFormat="1" applyFont="1" applyBorder="1"/>
    <xf numFmtId="0" fontId="7" fillId="0" borderId="0" xfId="2" applyBorder="1"/>
    <xf numFmtId="0" fontId="7" fillId="0" borderId="0" xfId="2" applyNumberFormat="1" applyBorder="1"/>
  </cellXfs>
  <cellStyles count="3">
    <cellStyle name="Comma" xfId="1" builtinId="3"/>
    <cellStyle name="Hyperlink" xfId="2" builtinId="8"/>
    <cellStyle name="Normal" xfId="0" builtinId="0"/>
  </cellStyles>
  <dxfs count="44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6" formatCode="m/d/yy"/>
    </dxf>
    <dxf>
      <numFmt numFmtId="166" formatCode="m/d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[$-409]d\-mmm\-yy;@"/>
      <alignment horizontal="center" vertical="center" textRotation="0" wrapText="0" indent="0" justifyLastLine="0" shrinkToFit="0" readingOrder="0"/>
    </dxf>
    <dxf>
      <numFmt numFmtId="165" formatCode="[$-409]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18954-90FD-1D49-8627-2A87DB299C4D}" name="T_PriceListsDatabase" displayName="T_PriceListsDatabase" ref="A1:P99" totalsRowShown="0" headerRowDxfId="43">
  <autoFilter ref="A1:P99" xr:uid="{0F118954-90FD-1D49-8627-2A87DB299C4D}"/>
  <tableColumns count="16">
    <tableColumn id="1" xr3:uid="{37D2F902-ABD9-4643-A4D7-B5B95F8EB3DD}" name="SAP Plant"/>
    <tableColumn id="2" xr3:uid="{5B3FAA56-8691-6B45-BE88-1FAD6CD79814}" name="Customer ref. SAP" dataDxfId="42"/>
    <tableColumn id="3" xr3:uid="{371D5FE5-8C9A-EC43-BDB3-7F3A516D0026}" name="Effective" dataDxfId="41"/>
    <tableColumn id="4" xr3:uid="{C5A79962-6221-1549-BAB4-FC8C5A183437}" name="Mailing date" dataDxfId="40"/>
    <tableColumn id="5" xr3:uid="{CD814802-AC17-394B-824B-A91512F11E29}" name="Customer Short Name" dataDxfId="39">
      <calculatedColumnFormula>_xlfn.XLOOKUP('Prices Database'!B2,'Customers Masterdata'!F:F,'Customers Masterdata'!G:G)</calculatedColumnFormula>
    </tableColumn>
    <tableColumn id="6" xr3:uid="{35843D4F-3CF9-5A45-94C4-C2D637FC48E1}" name="Price List Version" dataDxfId="38"/>
    <tableColumn id="7" xr3:uid="{D909CC7A-A93A-144B-A2AE-682919516B1F}" name="Comments about Changes" dataDxfId="37"/>
    <tableColumn id="15" xr3:uid="{803EFC74-00E4-464C-91D8-8542A8D43EC2}" name="Price Type (Discount, Net Price)" dataDxfId="36"/>
    <tableColumn id="16" xr3:uid="{073928F4-7D0B-BB49-AEE6-06E3D09F786E}" name="If Type Discount - Discount %" dataDxfId="35"/>
    <tableColumn id="8" xr3:uid="{19E42D72-2648-484B-8CF2-B93EA577FF36}" name="Price List ID" dataDxfId="34">
      <calculatedColumnFormula>B2&amp;C2&amp;D2&amp;F2</calculatedColumnFormula>
    </tableColumn>
    <tableColumn id="9" xr3:uid="{4FB4E62E-D1DE-7744-BE1C-C17981BFA9AE}" name="Product type"/>
    <tableColumn id="10" xr3:uid="{3CA5389E-BE54-514B-BBCB-ECBF466B186F}" name="RIP code" dataDxfId="33"/>
    <tableColumn id="11" xr3:uid="{C0411C6D-51D5-4A4F-8872-BC47F7B10E29}" name="Product"/>
    <tableColumn id="12" xr3:uid="{96C25DB5-B98C-FA40-B263-F9612D0DADE1}" name="Net price_x000a_(Currency / Unit)" dataDxfId="32"/>
    <tableColumn id="13" xr3:uid="{FE678BD4-6DEE-7B47-B7BA-64578B01D1A7}" name="Currency"/>
    <tableColumn id="14" xr3:uid="{18D3A197-DB24-144D-940B-A2D922C84EEA}" name="Uni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875CF-2DCF-6F47-8AC3-27B64348AB27}" name="T_Packaging_USD_Standard" displayName="T_Packaging_USD_Standard" ref="A1:F10" totalsRowShown="0">
  <autoFilter ref="A1:F10" xr:uid="{818875CF-2DCF-6F47-8AC3-27B64348AB27}"/>
  <tableColumns count="6">
    <tableColumn id="1" xr3:uid="{C394DC01-2FA5-F249-8E27-593C8E0CC130}" name="Packagin Version"/>
    <tableColumn id="2" xr3:uid="{235AF419-5F84-8F45-8F40-4227D19A3017}" name="Product Type"/>
    <tableColumn id="4" xr3:uid="{2492B6A6-ECAD-B944-9286-1D10F97121C1}" name="Packaging Name"/>
    <tableColumn id="5" xr3:uid="{15301E65-3DD2-6D42-98FE-D9684530DE40}" name="Price" dataDxfId="31"/>
    <tableColumn id="6" xr3:uid="{38E11289-FFED-F242-8D66-3814249EB7CB}" name="Currency"/>
    <tableColumn id="7" xr3:uid="{B03AE9A3-266E-E84E-A2EF-1EC53CADA514}" name="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5BB74-9C03-8149-A650-BC977257F739}" name="T_Packaging_EUR_Standard" displayName="T_Packaging_EUR_Standard" ref="A15:F24" totalsRowShown="0">
  <autoFilter ref="A15:F24" xr:uid="{1A65BB74-9C03-8149-A650-BC977257F739}"/>
  <tableColumns count="6">
    <tableColumn id="1" xr3:uid="{548B632C-CB06-6149-BFED-10326A4592F6}" name="Packagin Version"/>
    <tableColumn id="2" xr3:uid="{E7552D57-4470-7049-901C-65B811D82275}" name="Product Type"/>
    <tableColumn id="3" xr3:uid="{EC1D7A85-3113-0345-A020-6F4A505D0616}" name="Packaging Name"/>
    <tableColumn id="4" xr3:uid="{5EFFAEFC-4F74-0446-844E-7CED7F985D3B}" name="Price" dataDxfId="30"/>
    <tableColumn id="5" xr3:uid="{A14B6A73-05FD-684E-B7F2-CB1A0E156CAF}" name="Currency"/>
    <tableColumn id="6" xr3:uid="{5E311707-2C84-4840-9044-C36D000DAEC6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A20AE-9210-2043-B769-6227B8627523}" name="T_CustomerMasterdata" displayName="T_CustomerMasterdata" ref="A1:T4" totalsRowShown="0" headerRowDxfId="29">
  <autoFilter ref="A1:T4" xr:uid="{018A20AE-9210-2043-B769-6227B8627523}"/>
  <tableColumns count="20">
    <tableColumn id="1" xr3:uid="{7EB59029-C014-3344-9B1E-D008A6B2DA3B}" name="Zone"/>
    <tableColumn id="2" xr3:uid="{C46E54AC-4AB2-3B4A-B621-1D19BD233320}" name="Country"/>
    <tableColumn id="3" xr3:uid="{A908BA89-C7CB-6B41-85D5-1C0DF4FB4D46}" name="Customer Type"/>
    <tableColumn id="4" xr3:uid="{B9BDA364-BF2D-F540-BCD6-07DD275210AC}" name="Comment on Business Model"/>
    <tableColumn id="5" xr3:uid="{B88C2814-DEC7-F84F-8661-43580C35894C}" name="Customer ref. type SAP"/>
    <tableColumn id="6" xr3:uid="{2248B505-D962-1C43-B454-A4B8B178A3A3}" name="Customer ref. SAP" dataDxfId="28"/>
    <tableColumn id="7" xr3:uid="{0D5F9FD0-FC01-4E48-A7BA-C4855FE9E8DF}" name="Customer Short Name" dataDxfId="27"/>
    <tableColumn id="8" xr3:uid="{97C47538-7703-A249-BD86-0BB7284A02BA}" name="Customer Full Name" dataDxfId="26"/>
    <tableColumn id="9" xr3:uid="{3584453D-FF07-2B42-9C37-5EEDB8A1F9D8}" name="Currency"/>
    <tableColumn id="10" xr3:uid="{2897689C-CFDA-FD43-93C5-8C5944728291}" name="Packagin Version"/>
    <tableColumn id="11" xr3:uid="{D2EDF6D2-15D0-6747-AC2D-FEF45DEB9429}" name="Pice List Managed by" dataDxfId="25"/>
    <tableColumn id="12" xr3:uid="{2220F48A-029C-2545-90A3-F30C56C520A6}" name="Customer SPOC" dataDxfId="24"/>
    <tableColumn id="13" xr3:uid="{E58B7D03-8C98-B549-9F8C-13E8A39B9A7F}" name="Effective" dataDxfId="23"/>
    <tableColumn id="14" xr3:uid="{61359FB1-0C15-9646-BC4E-8F4924D00884}" name="Mailing date" dataDxfId="22"/>
    <tableColumn id="15" xr3:uid="{FAD338F2-73B5-D14D-A9DA-8A2B14C800D0}" name="Last Price List Version"/>
    <tableColumn id="20" xr3:uid="{187403D4-6469-DC45-BA9B-16EA70F7835F}" name="Last Price List ID" dataDxfId="21">
      <calculatedColumnFormula>T_CustomerMasterdata[[#This Row],[Customer ref. SAP]]&amp;T_CustomerMasterdata[[#This Row],[Effective]]&amp;T_CustomerMasterdata[[#This Row],[Mailing date]]&amp;T_CustomerMasterdata[[#This Row],[Last Price List Version]]</calculatedColumnFormula>
    </tableColumn>
    <tableColumn id="16" xr3:uid="{EC332BF1-4B64-5B43-BC9E-F79444DCF47A}" name="Mailing TO: Customer"/>
    <tableColumn id="17" xr3:uid="{9EBF1ECC-3E2A-3946-BB40-511666ABEA7E}" name="Internal COPY: SPOC + RZM + Other"/>
    <tableColumn id="18" xr3:uid="{BA8B7E30-778E-CF43-8DDD-8E78FEC4DA23}" name="Internal COPY to: PBP (Costing manager)" dataDxfId="20" dataCellStyle="Hyperlink">
      <calculatedColumnFormula>V_Email_PBPCostingManager</calculatedColumnFormula>
    </tableColumn>
    <tableColumn id="19" xr3:uid="{4AC3D85B-5286-AD4D-A8BF-16A422922E85}" name="COPY to: PBP common mail bo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583D75-F5E0-9247-8420-043E947DF895}" name="Table_StandardEPL_USD" displayName="Table_StandardEPL_USD" ref="A1:F46" totalsRowShown="0" headerRowDxfId="19" dataDxfId="18" tableBorderDxfId="17">
  <autoFilter ref="A1:F46" xr:uid="{08583D75-F5E0-9247-8420-043E947DF895}"/>
  <tableColumns count="6">
    <tableColumn id="1" xr3:uid="{D5370C0F-EF1F-FE4E-823B-BC12FBF5E1D8}" name="Product type" dataDxfId="16"/>
    <tableColumn id="2" xr3:uid="{AFD818D7-01BD-EA47-8510-CE3DB782DEF7}" name="RIP code" dataDxfId="15"/>
    <tableColumn id="3" xr3:uid="{BA1D3757-D246-9A40-95A5-59035BC3596B}" name="Product" dataDxfId="14"/>
    <tableColumn id="4" xr3:uid="{19A22FA5-1301-2048-A200-D2786122F32C}" name="Net price_x000a_(Currency / Unit)" dataDxfId="13"/>
    <tableColumn id="5" xr3:uid="{3D9EC9B7-AFFB-064C-8969-D35D91D4911A}" name="Currency" dataDxfId="12"/>
    <tableColumn id="6" xr3:uid="{132A2678-6F02-3B48-A3D3-9A7A1715C7E3}" name="Unit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FDDAA2-BE48-784E-9ADE-65BB176C5DFA}" name="Table_StandardEPL_EUR" displayName="Table_StandardEPL_EUR" ref="I1:N12" totalsRowShown="0" headerRowDxfId="10" dataDxfId="9" tableBorderDxfId="8">
  <autoFilter ref="I1:N12" xr:uid="{C9FDDAA2-BE48-784E-9ADE-65BB176C5DFA}"/>
  <tableColumns count="6">
    <tableColumn id="1" xr3:uid="{E5F45572-BC3D-E84C-819A-8A61994AFC61}" name="Product type" dataDxfId="7"/>
    <tableColumn id="2" xr3:uid="{2464CE3D-2F29-3641-80B9-F388FE026E6C}" name="RIP code" dataDxfId="6"/>
    <tableColumn id="3" xr3:uid="{B9359043-9086-8F4B-AED6-7C5C27FB0A7D}" name="Product" dataDxfId="5"/>
    <tableColumn id="4" xr3:uid="{8658424D-4B49-EA49-82C4-7494A9E30DA0}" name="Net price_x000a_(Currency / Unit)" dataDxfId="4"/>
    <tableColumn id="5" xr3:uid="{A439F0F3-48F3-5B4B-A620-C67704060E10}" name="Currency" dataDxfId="3"/>
    <tableColumn id="6" xr3:uid="{7F65394B-ED7C-6148-B52C-C9B1DADA10E5}" name="Unit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086C86-7409-D341-BCA1-2F1B0822837D}" name="T_ProductMasterdata" displayName="T_ProductMasterdata" ref="A1:D46" totalsRowShown="0" headerRowDxfId="1">
  <autoFilter ref="A1:D46" xr:uid="{DE086C86-7409-D341-BCA1-2F1B0822837D}"/>
  <tableColumns count="4">
    <tableColumn id="1" xr3:uid="{BD5F020E-302A-0347-A78A-E06DF254963E}" name="Plant"/>
    <tableColumn id="2" xr3:uid="{663847A5-52C7-B34F-85E7-90CEB7A54D3F}" name="Product type"/>
    <tableColumn id="3" xr3:uid="{70FD1635-1668-2A46-938E-817852556292}" name="RIP code" dataDxfId="0"/>
    <tableColumn id="4" xr3:uid="{28924AA3-E338-D643-B6CA-C1211C7224AC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PBPCommon.email@example.com" TargetMode="External"/><Relationship Id="rId1" Type="http://schemas.openxmlformats.org/officeDocument/2006/relationships/hyperlink" Target="mailto:internalpersonPBP@interna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nternalpersonPBP@internal.com;" TargetMode="External"/><Relationship Id="rId7" Type="http://schemas.openxmlformats.org/officeDocument/2006/relationships/hyperlink" Target="mailto:internalpersonPBP@internal.com;" TargetMode="External"/><Relationship Id="rId2" Type="http://schemas.openxmlformats.org/officeDocument/2006/relationships/hyperlink" Target="mailto:internalpersonC@internal.com;" TargetMode="External"/><Relationship Id="rId1" Type="http://schemas.openxmlformats.org/officeDocument/2006/relationships/hyperlink" Target="mailto:customerBpersonA@email.com;" TargetMode="External"/><Relationship Id="rId6" Type="http://schemas.openxmlformats.org/officeDocument/2006/relationships/hyperlink" Target="mailto:internalpersonC@internal.com;" TargetMode="External"/><Relationship Id="rId5" Type="http://schemas.openxmlformats.org/officeDocument/2006/relationships/hyperlink" Target="mailto:customerBpersonA@email.com;" TargetMode="External"/><Relationship Id="rId4" Type="http://schemas.openxmlformats.org/officeDocument/2006/relationships/hyperlink" Target="mailto:internalpersonPBP@internal.com;" TargetMode="Externa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0FF5-5EC2-D542-B693-2624057EED4C}">
  <dimension ref="B4:C6"/>
  <sheetViews>
    <sheetView workbookViewId="0">
      <selection activeCell="C13" sqref="C13"/>
    </sheetView>
  </sheetViews>
  <sheetFormatPr defaultColWidth="11.42578125" defaultRowHeight="15" x14ac:dyDescent="0.25"/>
  <cols>
    <col min="3" max="3" width="39.140625" customWidth="1"/>
  </cols>
  <sheetData>
    <row r="4" spans="2:3" x14ac:dyDescent="0.25">
      <c r="B4" t="s">
        <v>171</v>
      </c>
      <c r="C4" t="s">
        <v>170</v>
      </c>
    </row>
    <row r="5" spans="2:3" x14ac:dyDescent="0.25">
      <c r="B5" t="s">
        <v>169</v>
      </c>
      <c r="C5" s="15" t="s">
        <v>70</v>
      </c>
    </row>
    <row r="6" spans="2:3" x14ac:dyDescent="0.25">
      <c r="B6" t="s">
        <v>168</v>
      </c>
      <c r="C6" s="15" t="s">
        <v>172</v>
      </c>
    </row>
  </sheetData>
  <hyperlinks>
    <hyperlink ref="C6" r:id="rId1" xr:uid="{31CC56A5-ECD4-174B-B8C5-401A533C1DAE}"/>
    <hyperlink ref="C5" r:id="rId2" xr:uid="{02E6FA09-9632-FA40-9C82-529EC722BA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92"/>
  <sheetViews>
    <sheetView tabSelected="1" topLeftCell="A84" zoomScaleNormal="100" workbookViewId="0">
      <selection activeCell="A100" sqref="A100"/>
    </sheetView>
  </sheetViews>
  <sheetFormatPr defaultColWidth="8.85546875" defaultRowHeight="15" x14ac:dyDescent="0.25"/>
  <cols>
    <col min="1" max="1" width="14" customWidth="1"/>
    <col min="2" max="2" width="17.42578125" style="3" customWidth="1"/>
    <col min="3" max="3" width="12.140625" style="3" customWidth="1"/>
    <col min="4" max="4" width="20.85546875" style="3" customWidth="1"/>
    <col min="5" max="5" width="48.28515625" style="5" customWidth="1"/>
    <col min="6" max="6" width="16.85546875" style="3" customWidth="1"/>
    <col min="7" max="10" width="30.42578125" style="5" customWidth="1"/>
    <col min="11" max="11" width="26.7109375" customWidth="1"/>
    <col min="12" max="12" width="17.85546875" customWidth="1"/>
    <col min="13" max="13" width="49.140625" customWidth="1"/>
    <col min="14" max="14" width="20.140625" customWidth="1"/>
    <col min="15" max="15" width="13.42578125" customWidth="1"/>
    <col min="16" max="16" width="15.42578125" customWidth="1"/>
  </cols>
  <sheetData>
    <row r="1" spans="1:16" ht="31.5" x14ac:dyDescent="0.25">
      <c r="A1" s="12" t="s">
        <v>50</v>
      </c>
      <c r="B1" s="12" t="s">
        <v>37</v>
      </c>
      <c r="C1" s="12" t="s">
        <v>7</v>
      </c>
      <c r="D1" s="12" t="s">
        <v>6</v>
      </c>
      <c r="E1" s="12" t="s">
        <v>52</v>
      </c>
      <c r="F1" s="12" t="s">
        <v>8</v>
      </c>
      <c r="G1" s="12" t="s">
        <v>164</v>
      </c>
      <c r="H1" s="12" t="s">
        <v>175</v>
      </c>
      <c r="I1" s="12" t="s">
        <v>173</v>
      </c>
      <c r="J1" s="12" t="s">
        <v>166</v>
      </c>
      <c r="K1" s="2" t="s">
        <v>0</v>
      </c>
      <c r="L1" s="2" t="s">
        <v>1</v>
      </c>
      <c r="M1" s="2" t="s">
        <v>2</v>
      </c>
      <c r="N1" s="1" t="s">
        <v>3</v>
      </c>
      <c r="O1" s="2" t="s">
        <v>4</v>
      </c>
      <c r="P1" s="2" t="s">
        <v>5</v>
      </c>
    </row>
    <row r="2" spans="1:16" x14ac:dyDescent="0.25">
      <c r="A2" t="s">
        <v>165</v>
      </c>
      <c r="B2" s="3" t="s">
        <v>58</v>
      </c>
      <c r="C2" s="19">
        <v>36527</v>
      </c>
      <c r="D2" s="19">
        <v>36526</v>
      </c>
      <c r="E2" s="5" t="str">
        <f>_xlfn.XLOOKUP('Prices Database'!B2,'Customers Masterdata'!F:F,'Customers Masterdata'!G:G)</f>
        <v>Cust A</v>
      </c>
      <c r="F2" s="3" t="s">
        <v>44</v>
      </c>
      <c r="G2" s="5" t="s">
        <v>48</v>
      </c>
      <c r="H2" s="5" t="s">
        <v>174</v>
      </c>
      <c r="I2" s="23">
        <v>0.1</v>
      </c>
      <c r="J2" s="5" t="str">
        <f t="shared" ref="J2:J33" si="0">B2&amp;C2&amp;D2&amp;F2</f>
        <v>XXXXX13652736526V1</v>
      </c>
      <c r="K2" t="s">
        <v>11</v>
      </c>
      <c r="L2" s="7" t="s">
        <v>74</v>
      </c>
      <c r="M2" t="s">
        <v>75</v>
      </c>
      <c r="N2" s="9">
        <v>1301.4000000000001</v>
      </c>
      <c r="O2" t="s">
        <v>16</v>
      </c>
      <c r="P2" t="s">
        <v>17</v>
      </c>
    </row>
    <row r="3" spans="1:16" x14ac:dyDescent="0.25">
      <c r="A3" t="s">
        <v>165</v>
      </c>
      <c r="B3" s="3" t="s">
        <v>58</v>
      </c>
      <c r="C3" s="19">
        <v>36527</v>
      </c>
      <c r="D3" s="19">
        <v>36526</v>
      </c>
      <c r="E3" s="5" t="str">
        <f>_xlfn.XLOOKUP('Prices Database'!B3,'Customers Masterdata'!F:F,'Customers Masterdata'!G:G)</f>
        <v>Cust A</v>
      </c>
      <c r="F3" s="3" t="s">
        <v>44</v>
      </c>
      <c r="G3" s="5" t="s">
        <v>48</v>
      </c>
      <c r="H3" s="5" t="s">
        <v>174</v>
      </c>
      <c r="I3" s="23">
        <v>0.1</v>
      </c>
      <c r="J3" s="5" t="str">
        <f t="shared" si="0"/>
        <v>XXXXX13652736526V1</v>
      </c>
      <c r="K3" t="s">
        <v>11</v>
      </c>
      <c r="L3" s="7" t="s">
        <v>76</v>
      </c>
      <c r="M3" t="s">
        <v>77</v>
      </c>
      <c r="N3" s="9">
        <v>72.900000000000006</v>
      </c>
      <c r="O3" t="s">
        <v>16</v>
      </c>
      <c r="P3" t="s">
        <v>17</v>
      </c>
    </row>
    <row r="4" spans="1:16" x14ac:dyDescent="0.25">
      <c r="B4" s="3" t="s">
        <v>58</v>
      </c>
      <c r="C4" s="19">
        <v>36527</v>
      </c>
      <c r="D4" s="19">
        <v>36526</v>
      </c>
      <c r="E4" s="5" t="str">
        <f>_xlfn.XLOOKUP('Prices Database'!B4,'Customers Masterdata'!F:F,'Customers Masterdata'!G:G)</f>
        <v>Cust A</v>
      </c>
      <c r="F4" s="3" t="s">
        <v>44</v>
      </c>
      <c r="G4" s="5" t="s">
        <v>48</v>
      </c>
      <c r="H4" s="5" t="s">
        <v>174</v>
      </c>
      <c r="I4" s="23">
        <v>0.1</v>
      </c>
      <c r="J4" s="5" t="str">
        <f t="shared" si="0"/>
        <v>XXXXX13652736526V1</v>
      </c>
      <c r="K4" t="s">
        <v>11</v>
      </c>
      <c r="L4" s="7" t="s">
        <v>78</v>
      </c>
      <c r="M4" t="s">
        <v>79</v>
      </c>
      <c r="N4" s="9">
        <v>414.9</v>
      </c>
      <c r="O4" t="s">
        <v>16</v>
      </c>
      <c r="P4" t="s">
        <v>17</v>
      </c>
    </row>
    <row r="5" spans="1:16" x14ac:dyDescent="0.25">
      <c r="B5" s="3" t="s">
        <v>58</v>
      </c>
      <c r="C5" s="19">
        <v>36527</v>
      </c>
      <c r="D5" s="19">
        <v>36526</v>
      </c>
      <c r="E5" s="5" t="str">
        <f>_xlfn.XLOOKUP('Prices Database'!B5,'Customers Masterdata'!F:F,'Customers Masterdata'!G:G)</f>
        <v>Cust A</v>
      </c>
      <c r="F5" s="3" t="s">
        <v>44</v>
      </c>
      <c r="G5" s="5" t="s">
        <v>48</v>
      </c>
      <c r="H5" s="5" t="s">
        <v>174</v>
      </c>
      <c r="I5" s="23">
        <v>0.1</v>
      </c>
      <c r="J5" s="5" t="str">
        <f t="shared" si="0"/>
        <v>XXXXX13652736526V1</v>
      </c>
      <c r="K5" t="s">
        <v>11</v>
      </c>
      <c r="L5" s="7" t="s">
        <v>80</v>
      </c>
      <c r="M5" t="s">
        <v>81</v>
      </c>
      <c r="N5" s="9">
        <v>306.89999999999998</v>
      </c>
      <c r="O5" t="s">
        <v>16</v>
      </c>
      <c r="P5" t="s">
        <v>17</v>
      </c>
    </row>
    <row r="6" spans="1:16" x14ac:dyDescent="0.25">
      <c r="B6" s="3" t="s">
        <v>58</v>
      </c>
      <c r="C6" s="19">
        <v>36527</v>
      </c>
      <c r="D6" s="19">
        <v>36526</v>
      </c>
      <c r="E6" s="5" t="str">
        <f>_xlfn.XLOOKUP('Prices Database'!B6,'Customers Masterdata'!F:F,'Customers Masterdata'!G:G)</f>
        <v>Cust A</v>
      </c>
      <c r="F6" s="3" t="s">
        <v>44</v>
      </c>
      <c r="G6" s="5" t="s">
        <v>48</v>
      </c>
      <c r="H6" s="5" t="s">
        <v>174</v>
      </c>
      <c r="I6" s="23">
        <v>0.1</v>
      </c>
      <c r="J6" s="5" t="str">
        <f t="shared" si="0"/>
        <v>XXXXX13652736526V1</v>
      </c>
      <c r="K6" t="s">
        <v>11</v>
      </c>
      <c r="L6" s="7" t="s">
        <v>15</v>
      </c>
      <c r="M6" t="s">
        <v>82</v>
      </c>
      <c r="N6" s="9">
        <v>1512.9</v>
      </c>
      <c r="O6" t="s">
        <v>16</v>
      </c>
      <c r="P6" t="s">
        <v>17</v>
      </c>
    </row>
    <row r="7" spans="1:16" x14ac:dyDescent="0.25">
      <c r="B7" s="3" t="s">
        <v>58</v>
      </c>
      <c r="C7" s="19">
        <v>36527</v>
      </c>
      <c r="D7" s="19">
        <v>36526</v>
      </c>
      <c r="E7" s="5" t="str">
        <f>_xlfn.XLOOKUP('Prices Database'!B7,'Customers Masterdata'!F:F,'Customers Masterdata'!G:G)</f>
        <v>Cust A</v>
      </c>
      <c r="F7" s="3" t="s">
        <v>44</v>
      </c>
      <c r="G7" s="5" t="s">
        <v>48</v>
      </c>
      <c r="H7" s="5" t="s">
        <v>174</v>
      </c>
      <c r="I7" s="23">
        <v>0.1</v>
      </c>
      <c r="J7" s="5" t="str">
        <f t="shared" si="0"/>
        <v>XXXXX13652736526V1</v>
      </c>
      <c r="K7" t="s">
        <v>11</v>
      </c>
      <c r="L7" s="7" t="s">
        <v>83</v>
      </c>
      <c r="M7" t="s">
        <v>84</v>
      </c>
      <c r="N7" s="9">
        <v>846</v>
      </c>
      <c r="O7" t="s">
        <v>16</v>
      </c>
      <c r="P7" t="s">
        <v>17</v>
      </c>
    </row>
    <row r="8" spans="1:16" x14ac:dyDescent="0.25">
      <c r="B8" s="3" t="s">
        <v>58</v>
      </c>
      <c r="C8" s="19">
        <v>36527</v>
      </c>
      <c r="D8" s="19">
        <v>36526</v>
      </c>
      <c r="E8" s="5" t="str">
        <f>_xlfn.XLOOKUP('Prices Database'!B8,'Customers Masterdata'!F:F,'Customers Masterdata'!G:G)</f>
        <v>Cust A</v>
      </c>
      <c r="F8" s="3" t="s">
        <v>44</v>
      </c>
      <c r="G8" s="5" t="s">
        <v>48</v>
      </c>
      <c r="H8" s="5" t="s">
        <v>174</v>
      </c>
      <c r="I8" s="23">
        <v>0.1</v>
      </c>
      <c r="J8" s="5" t="str">
        <f t="shared" si="0"/>
        <v>XXXXX13652736526V1</v>
      </c>
      <c r="K8" t="s">
        <v>11</v>
      </c>
      <c r="L8" s="7" t="s">
        <v>85</v>
      </c>
      <c r="M8" t="s">
        <v>86</v>
      </c>
      <c r="N8" s="9">
        <v>897.3</v>
      </c>
      <c r="O8" t="s">
        <v>16</v>
      </c>
      <c r="P8" t="s">
        <v>17</v>
      </c>
    </row>
    <row r="9" spans="1:16" x14ac:dyDescent="0.25">
      <c r="B9" s="3" t="s">
        <v>58</v>
      </c>
      <c r="C9" s="19">
        <v>36527</v>
      </c>
      <c r="D9" s="19">
        <v>36526</v>
      </c>
      <c r="E9" s="5" t="str">
        <f>_xlfn.XLOOKUP('Prices Database'!B9,'Customers Masterdata'!F:F,'Customers Masterdata'!G:G)</f>
        <v>Cust A</v>
      </c>
      <c r="F9" s="3" t="s">
        <v>44</v>
      </c>
      <c r="G9" s="5" t="s">
        <v>48</v>
      </c>
      <c r="H9" s="5" t="s">
        <v>174</v>
      </c>
      <c r="I9" s="23">
        <v>0.1</v>
      </c>
      <c r="J9" s="5" t="str">
        <f t="shared" si="0"/>
        <v>XXXXX13652736526V1</v>
      </c>
      <c r="K9" t="s">
        <v>11</v>
      </c>
      <c r="L9" s="7" t="s">
        <v>87</v>
      </c>
      <c r="M9" t="s">
        <v>88</v>
      </c>
      <c r="N9" s="9">
        <v>260.10000000000002</v>
      </c>
      <c r="O9" t="s">
        <v>16</v>
      </c>
      <c r="P9" t="s">
        <v>17</v>
      </c>
    </row>
    <row r="10" spans="1:16" x14ac:dyDescent="0.25">
      <c r="B10" s="3" t="s">
        <v>58</v>
      </c>
      <c r="C10" s="19">
        <v>36527</v>
      </c>
      <c r="D10" s="19">
        <v>36526</v>
      </c>
      <c r="E10" s="5" t="str">
        <f>_xlfn.XLOOKUP('Prices Database'!B10,'Customers Masterdata'!F:F,'Customers Masterdata'!G:G)</f>
        <v>Cust A</v>
      </c>
      <c r="F10" s="3" t="s">
        <v>44</v>
      </c>
      <c r="G10" s="5" t="s">
        <v>48</v>
      </c>
      <c r="H10" s="5" t="s">
        <v>174</v>
      </c>
      <c r="I10" s="23">
        <v>0.1</v>
      </c>
      <c r="J10" s="5" t="str">
        <f t="shared" si="0"/>
        <v>XXXXX13652736526V1</v>
      </c>
      <c r="K10" t="s">
        <v>11</v>
      </c>
      <c r="L10" s="7" t="s">
        <v>89</v>
      </c>
      <c r="M10" t="s">
        <v>90</v>
      </c>
      <c r="N10" s="9">
        <v>612.9</v>
      </c>
      <c r="O10" t="s">
        <v>16</v>
      </c>
      <c r="P10" t="s">
        <v>17</v>
      </c>
    </row>
    <row r="11" spans="1:16" x14ac:dyDescent="0.25">
      <c r="B11" s="3" t="s">
        <v>58</v>
      </c>
      <c r="C11" s="19">
        <v>36527</v>
      </c>
      <c r="D11" s="19">
        <v>36526</v>
      </c>
      <c r="E11" s="5" t="str">
        <f>_xlfn.XLOOKUP('Prices Database'!B11,'Customers Masterdata'!F:F,'Customers Masterdata'!G:G)</f>
        <v>Cust A</v>
      </c>
      <c r="F11" s="3" t="s">
        <v>44</v>
      </c>
      <c r="G11" s="5" t="s">
        <v>48</v>
      </c>
      <c r="H11" s="5" t="s">
        <v>174</v>
      </c>
      <c r="I11" s="23">
        <v>0.1</v>
      </c>
      <c r="J11" s="5" t="str">
        <f t="shared" si="0"/>
        <v>XXXXX13652736526V1</v>
      </c>
      <c r="K11" t="s">
        <v>11</v>
      </c>
      <c r="L11" s="7" t="s">
        <v>91</v>
      </c>
      <c r="M11" t="s">
        <v>92</v>
      </c>
      <c r="N11" s="9">
        <v>927.9</v>
      </c>
      <c r="O11" t="s">
        <v>16</v>
      </c>
      <c r="P11" t="s">
        <v>17</v>
      </c>
    </row>
    <row r="12" spans="1:16" x14ac:dyDescent="0.25">
      <c r="B12" s="3" t="s">
        <v>58</v>
      </c>
      <c r="C12" s="19">
        <v>36527</v>
      </c>
      <c r="D12" s="19">
        <v>36526</v>
      </c>
      <c r="E12" s="5" t="str">
        <f>_xlfn.XLOOKUP('Prices Database'!B12,'Customers Masterdata'!F:F,'Customers Masterdata'!G:G)</f>
        <v>Cust A</v>
      </c>
      <c r="F12" s="3" t="s">
        <v>44</v>
      </c>
      <c r="G12" s="5" t="s">
        <v>48</v>
      </c>
      <c r="H12" s="5" t="s">
        <v>174</v>
      </c>
      <c r="I12" s="23">
        <v>0.1</v>
      </c>
      <c r="J12" s="5" t="str">
        <f t="shared" si="0"/>
        <v>XXXXX13652736526V1</v>
      </c>
      <c r="K12" t="s">
        <v>11</v>
      </c>
      <c r="L12" s="7" t="s">
        <v>93</v>
      </c>
      <c r="M12" t="s">
        <v>94</v>
      </c>
      <c r="N12" s="9">
        <v>733.5</v>
      </c>
      <c r="O12" t="s">
        <v>16</v>
      </c>
      <c r="P12" t="s">
        <v>17</v>
      </c>
    </row>
    <row r="13" spans="1:16" x14ac:dyDescent="0.25">
      <c r="B13" s="3" t="s">
        <v>58</v>
      </c>
      <c r="C13" s="19">
        <v>36527</v>
      </c>
      <c r="D13" s="19">
        <v>36526</v>
      </c>
      <c r="E13" s="5" t="str">
        <f>_xlfn.XLOOKUP('Prices Database'!B13,'Customers Masterdata'!F:F,'Customers Masterdata'!G:G)</f>
        <v>Cust A</v>
      </c>
      <c r="F13" s="3" t="s">
        <v>44</v>
      </c>
      <c r="G13" s="5" t="s">
        <v>48</v>
      </c>
      <c r="H13" s="5" t="s">
        <v>174</v>
      </c>
      <c r="I13" s="23">
        <v>0.1</v>
      </c>
      <c r="J13" s="5" t="str">
        <f t="shared" si="0"/>
        <v>XXXXX13652736526V1</v>
      </c>
      <c r="K13" t="s">
        <v>11</v>
      </c>
      <c r="L13" s="7" t="s">
        <v>95</v>
      </c>
      <c r="M13" t="s">
        <v>96</v>
      </c>
      <c r="N13" s="9">
        <v>228.6</v>
      </c>
      <c r="O13" t="s">
        <v>16</v>
      </c>
      <c r="P13" t="s">
        <v>17</v>
      </c>
    </row>
    <row r="14" spans="1:16" x14ac:dyDescent="0.25">
      <c r="B14" s="3" t="s">
        <v>58</v>
      </c>
      <c r="C14" s="19">
        <v>36527</v>
      </c>
      <c r="D14" s="19">
        <v>36526</v>
      </c>
      <c r="E14" s="5" t="str">
        <f>_xlfn.XLOOKUP('Prices Database'!B14,'Customers Masterdata'!F:F,'Customers Masterdata'!G:G)</f>
        <v>Cust A</v>
      </c>
      <c r="F14" s="3" t="s">
        <v>44</v>
      </c>
      <c r="G14" s="5" t="s">
        <v>48</v>
      </c>
      <c r="H14" s="5" t="s">
        <v>174</v>
      </c>
      <c r="I14" s="23">
        <v>0.1</v>
      </c>
      <c r="J14" s="5" t="str">
        <f t="shared" si="0"/>
        <v>XXXXX13652736526V1</v>
      </c>
      <c r="K14" t="s">
        <v>11</v>
      </c>
      <c r="L14" s="7" t="s">
        <v>97</v>
      </c>
      <c r="M14" t="s">
        <v>98</v>
      </c>
      <c r="N14" s="9">
        <v>1214.0999999999999</v>
      </c>
      <c r="O14" t="s">
        <v>16</v>
      </c>
      <c r="P14" t="s">
        <v>17</v>
      </c>
    </row>
    <row r="15" spans="1:16" x14ac:dyDescent="0.25">
      <c r="B15" s="3" t="s">
        <v>58</v>
      </c>
      <c r="C15" s="19">
        <v>36527</v>
      </c>
      <c r="D15" s="19">
        <v>36526</v>
      </c>
      <c r="E15" s="5" t="str">
        <f>_xlfn.XLOOKUP('Prices Database'!B15,'Customers Masterdata'!F:F,'Customers Masterdata'!G:G)</f>
        <v>Cust A</v>
      </c>
      <c r="F15" s="3" t="s">
        <v>44</v>
      </c>
      <c r="G15" s="5" t="s">
        <v>48</v>
      </c>
      <c r="H15" s="5" t="s">
        <v>174</v>
      </c>
      <c r="I15" s="23">
        <v>0.1</v>
      </c>
      <c r="J15" s="5" t="str">
        <f t="shared" si="0"/>
        <v>XXXXX13652736526V1</v>
      </c>
      <c r="K15" t="s">
        <v>12</v>
      </c>
      <c r="L15" s="7" t="s">
        <v>99</v>
      </c>
      <c r="M15" t="s">
        <v>100</v>
      </c>
      <c r="N15" s="9">
        <v>1053.9000000000001</v>
      </c>
      <c r="O15" t="s">
        <v>16</v>
      </c>
      <c r="P15" t="s">
        <v>18</v>
      </c>
    </row>
    <row r="16" spans="1:16" x14ac:dyDescent="0.25">
      <c r="B16" s="3" t="s">
        <v>58</v>
      </c>
      <c r="C16" s="19">
        <v>36527</v>
      </c>
      <c r="D16" s="19">
        <v>36526</v>
      </c>
      <c r="E16" s="5" t="str">
        <f>_xlfn.XLOOKUP('Prices Database'!B16,'Customers Masterdata'!F:F,'Customers Masterdata'!G:G)</f>
        <v>Cust A</v>
      </c>
      <c r="F16" s="3" t="s">
        <v>44</v>
      </c>
      <c r="G16" s="5" t="s">
        <v>48</v>
      </c>
      <c r="H16" s="5" t="s">
        <v>174</v>
      </c>
      <c r="I16" s="23">
        <v>0.1</v>
      </c>
      <c r="J16" s="5" t="str">
        <f t="shared" si="0"/>
        <v>XXXXX13652736526V1</v>
      </c>
      <c r="K16" t="s">
        <v>12</v>
      </c>
      <c r="L16" s="7" t="s">
        <v>101</v>
      </c>
      <c r="M16" t="s">
        <v>102</v>
      </c>
      <c r="N16" s="9">
        <v>204.3</v>
      </c>
      <c r="O16" t="s">
        <v>16</v>
      </c>
      <c r="P16" t="s">
        <v>18</v>
      </c>
    </row>
    <row r="17" spans="2:16" x14ac:dyDescent="0.25">
      <c r="B17" s="3" t="s">
        <v>58</v>
      </c>
      <c r="C17" s="19">
        <v>36527</v>
      </c>
      <c r="D17" s="19">
        <v>36526</v>
      </c>
      <c r="E17" s="5" t="str">
        <f>_xlfn.XLOOKUP('Prices Database'!B17,'Customers Masterdata'!F:F,'Customers Masterdata'!G:G)</f>
        <v>Cust A</v>
      </c>
      <c r="F17" s="3" t="s">
        <v>44</v>
      </c>
      <c r="G17" s="5" t="s">
        <v>48</v>
      </c>
      <c r="H17" s="5" t="s">
        <v>174</v>
      </c>
      <c r="I17" s="23">
        <v>0.1</v>
      </c>
      <c r="J17" s="5" t="str">
        <f t="shared" si="0"/>
        <v>XXXXX13652736526V1</v>
      </c>
      <c r="K17" t="s">
        <v>12</v>
      </c>
      <c r="L17" s="7" t="s">
        <v>103</v>
      </c>
      <c r="M17" t="s">
        <v>104</v>
      </c>
      <c r="N17" s="9">
        <v>414.9</v>
      </c>
      <c r="O17" t="s">
        <v>16</v>
      </c>
      <c r="P17" t="s">
        <v>18</v>
      </c>
    </row>
    <row r="18" spans="2:16" x14ac:dyDescent="0.25">
      <c r="B18" s="3" t="s">
        <v>58</v>
      </c>
      <c r="C18" s="19">
        <v>36527</v>
      </c>
      <c r="D18" s="19">
        <v>36526</v>
      </c>
      <c r="E18" s="5" t="str">
        <f>_xlfn.XLOOKUP('Prices Database'!B18,'Customers Masterdata'!F:F,'Customers Masterdata'!G:G)</f>
        <v>Cust A</v>
      </c>
      <c r="F18" s="3" t="s">
        <v>44</v>
      </c>
      <c r="G18" s="5" t="s">
        <v>48</v>
      </c>
      <c r="H18" s="5" t="s">
        <v>174</v>
      </c>
      <c r="I18" s="23">
        <v>0.1</v>
      </c>
      <c r="J18" s="5" t="str">
        <f t="shared" si="0"/>
        <v>XXXXX13652736526V1</v>
      </c>
      <c r="K18" t="s">
        <v>12</v>
      </c>
      <c r="L18" s="7" t="s">
        <v>105</v>
      </c>
      <c r="M18" t="s">
        <v>106</v>
      </c>
      <c r="N18" s="9">
        <v>904.5</v>
      </c>
      <c r="O18" t="s">
        <v>16</v>
      </c>
      <c r="P18" t="s">
        <v>18</v>
      </c>
    </row>
    <row r="19" spans="2:16" x14ac:dyDescent="0.25">
      <c r="B19" s="3" t="s">
        <v>58</v>
      </c>
      <c r="C19" s="19">
        <v>36527</v>
      </c>
      <c r="D19" s="19">
        <v>36526</v>
      </c>
      <c r="E19" s="5" t="str">
        <f>_xlfn.XLOOKUP('Prices Database'!B19,'Customers Masterdata'!F:F,'Customers Masterdata'!G:G)</f>
        <v>Cust A</v>
      </c>
      <c r="F19" s="3" t="s">
        <v>44</v>
      </c>
      <c r="G19" s="5" t="s">
        <v>48</v>
      </c>
      <c r="H19" s="5" t="s">
        <v>174</v>
      </c>
      <c r="I19" s="23">
        <v>0.1</v>
      </c>
      <c r="J19" s="5" t="str">
        <f t="shared" si="0"/>
        <v>XXXXX13652736526V1</v>
      </c>
      <c r="K19" t="s">
        <v>31</v>
      </c>
      <c r="L19" s="7" t="s">
        <v>107</v>
      </c>
      <c r="M19" t="s">
        <v>108</v>
      </c>
      <c r="N19" s="9">
        <v>411.3</v>
      </c>
      <c r="O19" t="s">
        <v>16</v>
      </c>
      <c r="P19" t="s">
        <v>18</v>
      </c>
    </row>
    <row r="20" spans="2:16" x14ac:dyDescent="0.25">
      <c r="B20" s="3" t="s">
        <v>58</v>
      </c>
      <c r="C20" s="19">
        <v>36527</v>
      </c>
      <c r="D20" s="19">
        <v>36526</v>
      </c>
      <c r="E20" s="5" t="str">
        <f>_xlfn.XLOOKUP('Prices Database'!B20,'Customers Masterdata'!F:F,'Customers Masterdata'!G:G)</f>
        <v>Cust A</v>
      </c>
      <c r="F20" s="3" t="s">
        <v>44</v>
      </c>
      <c r="G20" s="5" t="s">
        <v>48</v>
      </c>
      <c r="H20" s="5" t="s">
        <v>174</v>
      </c>
      <c r="I20" s="23">
        <v>0.1</v>
      </c>
      <c r="J20" s="5" t="str">
        <f t="shared" si="0"/>
        <v>XXXXX13652736526V1</v>
      </c>
      <c r="K20" t="s">
        <v>31</v>
      </c>
      <c r="L20" s="7" t="s">
        <v>109</v>
      </c>
      <c r="M20" t="s">
        <v>110</v>
      </c>
      <c r="N20" s="9">
        <v>599.4</v>
      </c>
      <c r="O20" t="s">
        <v>16</v>
      </c>
      <c r="P20" t="s">
        <v>18</v>
      </c>
    </row>
    <row r="21" spans="2:16" x14ac:dyDescent="0.25">
      <c r="B21" s="3" t="s">
        <v>58</v>
      </c>
      <c r="C21" s="19">
        <v>36527</v>
      </c>
      <c r="D21" s="19">
        <v>36526</v>
      </c>
      <c r="E21" s="5" t="str">
        <f>_xlfn.XLOOKUP('Prices Database'!B21,'Customers Masterdata'!F:F,'Customers Masterdata'!G:G)</f>
        <v>Cust A</v>
      </c>
      <c r="F21" s="3" t="s">
        <v>44</v>
      </c>
      <c r="G21" s="5" t="s">
        <v>48</v>
      </c>
      <c r="H21" s="5" t="s">
        <v>174</v>
      </c>
      <c r="I21" s="23">
        <v>0.1</v>
      </c>
      <c r="J21" s="5" t="str">
        <f t="shared" si="0"/>
        <v>XXXXX13652736526V1</v>
      </c>
      <c r="K21" t="s">
        <v>31</v>
      </c>
      <c r="L21" s="7" t="s">
        <v>111</v>
      </c>
      <c r="M21" t="s">
        <v>112</v>
      </c>
      <c r="N21" s="9">
        <v>1294.2</v>
      </c>
      <c r="O21" t="s">
        <v>16</v>
      </c>
      <c r="P21" t="s">
        <v>18</v>
      </c>
    </row>
    <row r="22" spans="2:16" x14ac:dyDescent="0.25">
      <c r="B22" s="3" t="s">
        <v>58</v>
      </c>
      <c r="C22" s="19">
        <v>36527</v>
      </c>
      <c r="D22" s="19">
        <v>36526</v>
      </c>
      <c r="E22" s="5" t="str">
        <f>_xlfn.XLOOKUP('Prices Database'!B22,'Customers Masterdata'!F:F,'Customers Masterdata'!G:G)</f>
        <v>Cust A</v>
      </c>
      <c r="F22" s="3" t="s">
        <v>44</v>
      </c>
      <c r="G22" s="5" t="s">
        <v>48</v>
      </c>
      <c r="H22" s="5" t="s">
        <v>174</v>
      </c>
      <c r="I22" s="23">
        <v>0.1</v>
      </c>
      <c r="J22" s="5" t="str">
        <f t="shared" si="0"/>
        <v>XXXXX13652736526V1</v>
      </c>
      <c r="K22" t="s">
        <v>31</v>
      </c>
      <c r="L22" s="7" t="s">
        <v>113</v>
      </c>
      <c r="M22" t="s">
        <v>114</v>
      </c>
      <c r="N22" s="9">
        <v>377.1</v>
      </c>
      <c r="O22" t="s">
        <v>16</v>
      </c>
      <c r="P22" t="s">
        <v>18</v>
      </c>
    </row>
    <row r="23" spans="2:16" x14ac:dyDescent="0.25">
      <c r="B23" s="3" t="s">
        <v>58</v>
      </c>
      <c r="C23" s="19">
        <v>36527</v>
      </c>
      <c r="D23" s="19">
        <v>36526</v>
      </c>
      <c r="E23" s="5" t="str">
        <f>_xlfn.XLOOKUP('Prices Database'!B23,'Customers Masterdata'!F:F,'Customers Masterdata'!G:G)</f>
        <v>Cust A</v>
      </c>
      <c r="F23" s="3" t="s">
        <v>44</v>
      </c>
      <c r="G23" s="5" t="s">
        <v>48</v>
      </c>
      <c r="H23" s="5" t="s">
        <v>174</v>
      </c>
      <c r="I23" s="23">
        <v>0.1</v>
      </c>
      <c r="J23" s="5" t="str">
        <f t="shared" si="0"/>
        <v>XXXXX13652736526V1</v>
      </c>
      <c r="K23" t="s">
        <v>31</v>
      </c>
      <c r="L23" s="7" t="s">
        <v>115</v>
      </c>
      <c r="M23" t="s">
        <v>116</v>
      </c>
      <c r="N23" s="9">
        <v>632.70000000000005</v>
      </c>
      <c r="O23" t="s">
        <v>16</v>
      </c>
      <c r="P23" t="s">
        <v>18</v>
      </c>
    </row>
    <row r="24" spans="2:16" x14ac:dyDescent="0.25">
      <c r="B24" s="3" t="s">
        <v>58</v>
      </c>
      <c r="C24" s="19">
        <v>36527</v>
      </c>
      <c r="D24" s="19">
        <v>36526</v>
      </c>
      <c r="E24" s="5" t="str">
        <f>_xlfn.XLOOKUP('Prices Database'!B24,'Customers Masterdata'!F:F,'Customers Masterdata'!G:G)</f>
        <v>Cust A</v>
      </c>
      <c r="F24" s="3" t="s">
        <v>44</v>
      </c>
      <c r="G24" s="5" t="s">
        <v>48</v>
      </c>
      <c r="H24" s="5" t="s">
        <v>174</v>
      </c>
      <c r="I24" s="23">
        <v>0.1</v>
      </c>
      <c r="J24" s="5" t="str">
        <f t="shared" si="0"/>
        <v>XXXXX13652736526V1</v>
      </c>
      <c r="K24" t="s">
        <v>13</v>
      </c>
      <c r="L24" s="7" t="s">
        <v>117</v>
      </c>
      <c r="M24" t="s">
        <v>118</v>
      </c>
      <c r="N24" s="9">
        <v>1426.5</v>
      </c>
      <c r="O24" t="s">
        <v>16</v>
      </c>
      <c r="P24" t="s">
        <v>18</v>
      </c>
    </row>
    <row r="25" spans="2:16" x14ac:dyDescent="0.25">
      <c r="B25" s="3" t="s">
        <v>58</v>
      </c>
      <c r="C25" s="19">
        <v>36527</v>
      </c>
      <c r="D25" s="19">
        <v>36526</v>
      </c>
      <c r="E25" s="5" t="str">
        <f>_xlfn.XLOOKUP('Prices Database'!B25,'Customers Masterdata'!F:F,'Customers Masterdata'!G:G)</f>
        <v>Cust A</v>
      </c>
      <c r="F25" s="3" t="s">
        <v>44</v>
      </c>
      <c r="G25" s="5" t="s">
        <v>48</v>
      </c>
      <c r="H25" s="5" t="s">
        <v>174</v>
      </c>
      <c r="I25" s="23">
        <v>0.1</v>
      </c>
      <c r="J25" s="5" t="str">
        <f t="shared" si="0"/>
        <v>XXXXX13652736526V1</v>
      </c>
      <c r="K25" t="s">
        <v>13</v>
      </c>
      <c r="L25" s="7" t="s">
        <v>119</v>
      </c>
      <c r="M25" t="s">
        <v>120</v>
      </c>
      <c r="N25" s="9">
        <v>483.3</v>
      </c>
      <c r="O25" t="s">
        <v>16</v>
      </c>
      <c r="P25" t="s">
        <v>18</v>
      </c>
    </row>
    <row r="26" spans="2:16" x14ac:dyDescent="0.25">
      <c r="B26" s="3" t="s">
        <v>58</v>
      </c>
      <c r="C26" s="19">
        <v>36527</v>
      </c>
      <c r="D26" s="19">
        <v>36526</v>
      </c>
      <c r="E26" s="5" t="str">
        <f>_xlfn.XLOOKUP('Prices Database'!B26,'Customers Masterdata'!F:F,'Customers Masterdata'!G:G)</f>
        <v>Cust A</v>
      </c>
      <c r="F26" s="3" t="s">
        <v>44</v>
      </c>
      <c r="G26" s="5" t="s">
        <v>48</v>
      </c>
      <c r="H26" s="5" t="s">
        <v>174</v>
      </c>
      <c r="I26" s="23">
        <v>0.1</v>
      </c>
      <c r="J26" s="5" t="str">
        <f t="shared" si="0"/>
        <v>XXXXX13652736526V1</v>
      </c>
      <c r="K26" t="s">
        <v>13</v>
      </c>
      <c r="L26" s="7" t="s">
        <v>121</v>
      </c>
      <c r="M26" t="s">
        <v>122</v>
      </c>
      <c r="N26" s="9">
        <v>399.6</v>
      </c>
      <c r="O26" t="s">
        <v>16</v>
      </c>
      <c r="P26" t="s">
        <v>18</v>
      </c>
    </row>
    <row r="27" spans="2:16" x14ac:dyDescent="0.25">
      <c r="B27" s="3" t="s">
        <v>58</v>
      </c>
      <c r="C27" s="19">
        <v>36527</v>
      </c>
      <c r="D27" s="19">
        <v>36526</v>
      </c>
      <c r="E27" s="5" t="str">
        <f>_xlfn.XLOOKUP('Prices Database'!B27,'Customers Masterdata'!F:F,'Customers Masterdata'!G:G)</f>
        <v>Cust A</v>
      </c>
      <c r="F27" s="3" t="s">
        <v>44</v>
      </c>
      <c r="G27" s="5" t="s">
        <v>48</v>
      </c>
      <c r="H27" s="5" t="s">
        <v>174</v>
      </c>
      <c r="I27" s="23">
        <v>0.2</v>
      </c>
      <c r="J27" s="5" t="str">
        <f t="shared" si="0"/>
        <v>XXXXX13652736526V1</v>
      </c>
      <c r="K27" t="s">
        <v>13</v>
      </c>
      <c r="L27" s="7" t="s">
        <v>123</v>
      </c>
      <c r="M27" t="s">
        <v>124</v>
      </c>
      <c r="N27" s="9">
        <v>1186.4000000000001</v>
      </c>
      <c r="O27" t="s">
        <v>16</v>
      </c>
      <c r="P27" t="s">
        <v>18</v>
      </c>
    </row>
    <row r="28" spans="2:16" x14ac:dyDescent="0.25">
      <c r="B28" s="3" t="s">
        <v>58</v>
      </c>
      <c r="C28" s="19">
        <v>36527</v>
      </c>
      <c r="D28" s="19">
        <v>36526</v>
      </c>
      <c r="E28" s="5" t="str">
        <f>_xlfn.XLOOKUP('Prices Database'!B28,'Customers Masterdata'!F:F,'Customers Masterdata'!G:G)</f>
        <v>Cust A</v>
      </c>
      <c r="F28" s="3" t="s">
        <v>44</v>
      </c>
      <c r="G28" s="5" t="s">
        <v>48</v>
      </c>
      <c r="H28" s="5" t="s">
        <v>174</v>
      </c>
      <c r="I28" s="23">
        <v>0.2</v>
      </c>
      <c r="J28" s="5" t="str">
        <f t="shared" si="0"/>
        <v>XXXXX13652736526V1</v>
      </c>
      <c r="K28" t="s">
        <v>13</v>
      </c>
      <c r="L28" s="7" t="s">
        <v>125</v>
      </c>
      <c r="M28" t="s">
        <v>126</v>
      </c>
      <c r="N28" s="9">
        <v>865.6</v>
      </c>
      <c r="O28" t="s">
        <v>16</v>
      </c>
      <c r="P28" t="s">
        <v>18</v>
      </c>
    </row>
    <row r="29" spans="2:16" x14ac:dyDescent="0.25">
      <c r="B29" s="3" t="s">
        <v>58</v>
      </c>
      <c r="C29" s="19">
        <v>36527</v>
      </c>
      <c r="D29" s="19">
        <v>36526</v>
      </c>
      <c r="E29" s="5" t="str">
        <f>_xlfn.XLOOKUP('Prices Database'!B29,'Customers Masterdata'!F:F,'Customers Masterdata'!G:G)</f>
        <v>Cust A</v>
      </c>
      <c r="F29" s="3" t="s">
        <v>44</v>
      </c>
      <c r="G29" s="5" t="s">
        <v>48</v>
      </c>
      <c r="H29" s="5" t="s">
        <v>174</v>
      </c>
      <c r="I29" s="23">
        <v>0.2</v>
      </c>
      <c r="J29" s="5" t="str">
        <f t="shared" si="0"/>
        <v>XXXXX13652736526V1</v>
      </c>
      <c r="K29" t="s">
        <v>13</v>
      </c>
      <c r="L29" s="7" t="s">
        <v>127</v>
      </c>
      <c r="M29" t="s">
        <v>128</v>
      </c>
      <c r="N29" s="9">
        <v>118.4</v>
      </c>
      <c r="O29" t="s">
        <v>16</v>
      </c>
      <c r="P29" t="s">
        <v>18</v>
      </c>
    </row>
    <row r="30" spans="2:16" x14ac:dyDescent="0.25">
      <c r="B30" s="3" t="s">
        <v>58</v>
      </c>
      <c r="C30" s="19">
        <v>36527</v>
      </c>
      <c r="D30" s="19">
        <v>36526</v>
      </c>
      <c r="E30" s="5" t="str">
        <f>_xlfn.XLOOKUP('Prices Database'!B30,'Customers Masterdata'!F:F,'Customers Masterdata'!G:G)</f>
        <v>Cust A</v>
      </c>
      <c r="F30" s="3" t="s">
        <v>44</v>
      </c>
      <c r="G30" s="5" t="s">
        <v>48</v>
      </c>
      <c r="H30" s="5" t="s">
        <v>174</v>
      </c>
      <c r="I30" s="23">
        <v>0.2</v>
      </c>
      <c r="J30" s="5" t="str">
        <f t="shared" si="0"/>
        <v>XXXXX13652736526V1</v>
      </c>
      <c r="K30" t="s">
        <v>13</v>
      </c>
      <c r="L30" s="7" t="s">
        <v>129</v>
      </c>
      <c r="M30" t="s">
        <v>130</v>
      </c>
      <c r="N30" s="9">
        <v>877.6</v>
      </c>
      <c r="O30" t="s">
        <v>16</v>
      </c>
      <c r="P30" t="s">
        <v>18</v>
      </c>
    </row>
    <row r="31" spans="2:16" x14ac:dyDescent="0.25">
      <c r="B31" s="3" t="s">
        <v>58</v>
      </c>
      <c r="C31" s="19">
        <v>36527</v>
      </c>
      <c r="D31" s="19">
        <v>36526</v>
      </c>
      <c r="E31" s="5" t="str">
        <f>_xlfn.XLOOKUP('Prices Database'!B31,'Customers Masterdata'!F:F,'Customers Masterdata'!G:G)</f>
        <v>Cust A</v>
      </c>
      <c r="F31" s="3" t="s">
        <v>44</v>
      </c>
      <c r="G31" s="5" t="s">
        <v>48</v>
      </c>
      <c r="H31" s="5" t="s">
        <v>174</v>
      </c>
      <c r="I31" s="23">
        <v>0.2</v>
      </c>
      <c r="J31" s="5" t="str">
        <f t="shared" si="0"/>
        <v>XXXXX13652736526V1</v>
      </c>
      <c r="K31" t="s">
        <v>13</v>
      </c>
      <c r="L31" s="7" t="s">
        <v>131</v>
      </c>
      <c r="M31" t="s">
        <v>132</v>
      </c>
      <c r="N31" s="9">
        <v>406.4</v>
      </c>
      <c r="O31" t="s">
        <v>16</v>
      </c>
      <c r="P31" t="s">
        <v>18</v>
      </c>
    </row>
    <row r="32" spans="2:16" x14ac:dyDescent="0.25">
      <c r="B32" s="3" t="s">
        <v>58</v>
      </c>
      <c r="C32" s="19">
        <v>36527</v>
      </c>
      <c r="D32" s="19">
        <v>36526</v>
      </c>
      <c r="E32" s="5" t="str">
        <f>_xlfn.XLOOKUP('Prices Database'!B32,'Customers Masterdata'!F:F,'Customers Masterdata'!G:G)</f>
        <v>Cust A</v>
      </c>
      <c r="F32" s="3" t="s">
        <v>44</v>
      </c>
      <c r="G32" s="5" t="s">
        <v>48</v>
      </c>
      <c r="H32" s="5" t="s">
        <v>174</v>
      </c>
      <c r="I32" s="23">
        <v>0.2</v>
      </c>
      <c r="J32" s="5" t="str">
        <f t="shared" si="0"/>
        <v>XXXXX13652736526V1</v>
      </c>
      <c r="K32" t="s">
        <v>13</v>
      </c>
      <c r="L32" s="7" t="s">
        <v>133</v>
      </c>
      <c r="M32" t="s">
        <v>134</v>
      </c>
      <c r="N32" s="9">
        <v>784</v>
      </c>
      <c r="O32" t="s">
        <v>16</v>
      </c>
      <c r="P32" t="s">
        <v>18</v>
      </c>
    </row>
    <row r="33" spans="1:16" x14ac:dyDescent="0.25">
      <c r="B33" s="3" t="s">
        <v>58</v>
      </c>
      <c r="C33" s="19">
        <v>36527</v>
      </c>
      <c r="D33" s="19">
        <v>36526</v>
      </c>
      <c r="E33" s="5" t="str">
        <f>_xlfn.XLOOKUP('Prices Database'!B33,'Customers Masterdata'!F:F,'Customers Masterdata'!G:G)</f>
        <v>Cust A</v>
      </c>
      <c r="F33" s="3" t="s">
        <v>44</v>
      </c>
      <c r="G33" s="5" t="s">
        <v>48</v>
      </c>
      <c r="H33" s="5" t="s">
        <v>174</v>
      </c>
      <c r="I33" s="23">
        <v>0.2</v>
      </c>
      <c r="J33" s="5" t="str">
        <f t="shared" si="0"/>
        <v>XXXXX13652736526V1</v>
      </c>
      <c r="K33" t="s">
        <v>13</v>
      </c>
      <c r="L33" s="7" t="s">
        <v>135</v>
      </c>
      <c r="M33" t="s">
        <v>136</v>
      </c>
      <c r="N33" s="9">
        <v>51.2</v>
      </c>
      <c r="O33" t="s">
        <v>16</v>
      </c>
      <c r="P33" t="s">
        <v>18</v>
      </c>
    </row>
    <row r="34" spans="1:16" x14ac:dyDescent="0.25">
      <c r="B34" s="3" t="s">
        <v>58</v>
      </c>
      <c r="C34" s="19">
        <v>36527</v>
      </c>
      <c r="D34" s="19">
        <v>36526</v>
      </c>
      <c r="E34" s="5" t="str">
        <f>_xlfn.XLOOKUP('Prices Database'!B34,'Customers Masterdata'!F:F,'Customers Masterdata'!G:G)</f>
        <v>Cust A</v>
      </c>
      <c r="F34" s="3" t="s">
        <v>44</v>
      </c>
      <c r="G34" s="5" t="s">
        <v>48</v>
      </c>
      <c r="H34" s="5" t="s">
        <v>174</v>
      </c>
      <c r="I34" s="23">
        <v>0.2</v>
      </c>
      <c r="J34" s="5" t="str">
        <f t="shared" ref="J34:J65" si="1">B34&amp;C34&amp;D34&amp;F34</f>
        <v>XXXXX13652736526V1</v>
      </c>
      <c r="K34" t="s">
        <v>13</v>
      </c>
      <c r="L34" s="7" t="s">
        <v>137</v>
      </c>
      <c r="M34" t="s">
        <v>138</v>
      </c>
      <c r="N34" s="9">
        <v>88</v>
      </c>
      <c r="O34" t="s">
        <v>16</v>
      </c>
      <c r="P34" t="s">
        <v>18</v>
      </c>
    </row>
    <row r="35" spans="1:16" x14ac:dyDescent="0.25">
      <c r="B35" s="3" t="s">
        <v>58</v>
      </c>
      <c r="C35" s="19">
        <v>36527</v>
      </c>
      <c r="D35" s="19">
        <v>36526</v>
      </c>
      <c r="E35" s="5" t="str">
        <f>_xlfn.XLOOKUP('Prices Database'!B35,'Customers Masterdata'!F:F,'Customers Masterdata'!G:G)</f>
        <v>Cust A</v>
      </c>
      <c r="F35" s="3" t="s">
        <v>44</v>
      </c>
      <c r="G35" s="5" t="s">
        <v>48</v>
      </c>
      <c r="H35" s="5" t="s">
        <v>174</v>
      </c>
      <c r="I35" s="23">
        <v>0.2</v>
      </c>
      <c r="J35" s="5" t="str">
        <f t="shared" si="1"/>
        <v>XXXXX13652736526V1</v>
      </c>
      <c r="K35" t="s">
        <v>13</v>
      </c>
      <c r="L35" s="7" t="s">
        <v>139</v>
      </c>
      <c r="M35" t="s">
        <v>140</v>
      </c>
      <c r="N35" s="9">
        <v>1344</v>
      </c>
      <c r="O35" t="s">
        <v>16</v>
      </c>
      <c r="P35" t="s">
        <v>18</v>
      </c>
    </row>
    <row r="36" spans="1:16" x14ac:dyDescent="0.25">
      <c r="B36" s="3" t="s">
        <v>58</v>
      </c>
      <c r="C36" s="19">
        <v>36527</v>
      </c>
      <c r="D36" s="19">
        <v>36526</v>
      </c>
      <c r="E36" s="5" t="str">
        <f>_xlfn.XLOOKUP('Prices Database'!B36,'Customers Masterdata'!F:F,'Customers Masterdata'!G:G)</f>
        <v>Cust A</v>
      </c>
      <c r="F36" s="3" t="s">
        <v>44</v>
      </c>
      <c r="G36" s="5" t="s">
        <v>48</v>
      </c>
      <c r="H36" s="5" t="s">
        <v>174</v>
      </c>
      <c r="I36" s="23">
        <v>0.2</v>
      </c>
      <c r="J36" s="5" t="str">
        <f t="shared" si="1"/>
        <v>XXXXX13652736526V1</v>
      </c>
      <c r="K36" t="s">
        <v>13</v>
      </c>
      <c r="L36" s="7" t="s">
        <v>141</v>
      </c>
      <c r="M36" t="s">
        <v>142</v>
      </c>
      <c r="N36" s="9">
        <v>408</v>
      </c>
      <c r="O36" t="s">
        <v>16</v>
      </c>
      <c r="P36" t="s">
        <v>18</v>
      </c>
    </row>
    <row r="37" spans="1:16" x14ac:dyDescent="0.25">
      <c r="B37" s="3" t="s">
        <v>58</v>
      </c>
      <c r="C37" s="19">
        <v>36527</v>
      </c>
      <c r="D37" s="19">
        <v>36526</v>
      </c>
      <c r="E37" s="5" t="str">
        <f>_xlfn.XLOOKUP('Prices Database'!B37,'Customers Masterdata'!F:F,'Customers Masterdata'!G:G)</f>
        <v>Cust A</v>
      </c>
      <c r="F37" s="3" t="s">
        <v>44</v>
      </c>
      <c r="G37" s="5" t="s">
        <v>48</v>
      </c>
      <c r="H37" s="5" t="s">
        <v>174</v>
      </c>
      <c r="I37" s="23">
        <v>0.2</v>
      </c>
      <c r="J37" s="5" t="str">
        <f t="shared" si="1"/>
        <v>XXXXX13652736526V1</v>
      </c>
      <c r="K37" t="s">
        <v>13</v>
      </c>
      <c r="L37" s="7" t="s">
        <v>143</v>
      </c>
      <c r="M37" t="s">
        <v>144</v>
      </c>
      <c r="N37" s="9">
        <v>1184.8</v>
      </c>
      <c r="O37" t="s">
        <v>16</v>
      </c>
      <c r="P37" t="s">
        <v>18</v>
      </c>
    </row>
    <row r="38" spans="1:16" x14ac:dyDescent="0.25">
      <c r="B38" s="3" t="s">
        <v>58</v>
      </c>
      <c r="C38" s="19">
        <v>36527</v>
      </c>
      <c r="D38" s="19">
        <v>36526</v>
      </c>
      <c r="E38" s="5" t="str">
        <f>_xlfn.XLOOKUP('Prices Database'!B38,'Customers Masterdata'!F:F,'Customers Masterdata'!G:G)</f>
        <v>Cust A</v>
      </c>
      <c r="F38" s="3" t="s">
        <v>44</v>
      </c>
      <c r="G38" s="5" t="s">
        <v>48</v>
      </c>
      <c r="H38" s="5" t="s">
        <v>174</v>
      </c>
      <c r="I38" s="23">
        <v>0.2</v>
      </c>
      <c r="J38" s="5" t="str">
        <f t="shared" si="1"/>
        <v>XXXXX13652736526V1</v>
      </c>
      <c r="K38" t="s">
        <v>13</v>
      </c>
      <c r="L38" s="7" t="s">
        <v>145</v>
      </c>
      <c r="M38" t="s">
        <v>146</v>
      </c>
      <c r="N38" s="9">
        <v>1410.4</v>
      </c>
      <c r="O38" t="s">
        <v>16</v>
      </c>
      <c r="P38" t="s">
        <v>18</v>
      </c>
    </row>
    <row r="39" spans="1:16" x14ac:dyDescent="0.25">
      <c r="B39" s="3" t="s">
        <v>58</v>
      </c>
      <c r="C39" s="19">
        <v>36527</v>
      </c>
      <c r="D39" s="19">
        <v>36526</v>
      </c>
      <c r="E39" s="5" t="str">
        <f>_xlfn.XLOOKUP('Prices Database'!B39,'Customers Masterdata'!F:F,'Customers Masterdata'!G:G)</f>
        <v>Cust A</v>
      </c>
      <c r="F39" s="3" t="s">
        <v>44</v>
      </c>
      <c r="G39" s="5" t="s">
        <v>48</v>
      </c>
      <c r="H39" s="5" t="s">
        <v>174</v>
      </c>
      <c r="I39" s="23">
        <v>0.2</v>
      </c>
      <c r="J39" s="5" t="str">
        <f t="shared" si="1"/>
        <v>XXXXX13652736526V1</v>
      </c>
      <c r="K39" t="s">
        <v>13</v>
      </c>
      <c r="L39" s="7" t="s">
        <v>147</v>
      </c>
      <c r="M39" t="s">
        <v>148</v>
      </c>
      <c r="N39" s="9">
        <v>1262.4000000000001</v>
      </c>
      <c r="O39" t="s">
        <v>16</v>
      </c>
      <c r="P39" t="s">
        <v>18</v>
      </c>
    </row>
    <row r="40" spans="1:16" x14ac:dyDescent="0.25">
      <c r="B40" s="3" t="s">
        <v>58</v>
      </c>
      <c r="C40" s="19">
        <v>36527</v>
      </c>
      <c r="D40" s="19">
        <v>36526</v>
      </c>
      <c r="E40" s="5" t="str">
        <f>_xlfn.XLOOKUP('Prices Database'!B40,'Customers Masterdata'!F:F,'Customers Masterdata'!G:G)</f>
        <v>Cust A</v>
      </c>
      <c r="F40" s="3" t="s">
        <v>44</v>
      </c>
      <c r="G40" s="5" t="s">
        <v>48</v>
      </c>
      <c r="H40" s="5" t="s">
        <v>174</v>
      </c>
      <c r="I40" s="23">
        <v>0.2</v>
      </c>
      <c r="J40" s="5" t="str">
        <f t="shared" si="1"/>
        <v>XXXXX13652736526V1</v>
      </c>
      <c r="K40" t="s">
        <v>14</v>
      </c>
      <c r="L40" s="7" t="s">
        <v>149</v>
      </c>
      <c r="M40" t="s">
        <v>150</v>
      </c>
      <c r="N40" s="9">
        <v>287.2</v>
      </c>
      <c r="O40" t="s">
        <v>16</v>
      </c>
      <c r="P40" t="s">
        <v>18</v>
      </c>
    </row>
    <row r="41" spans="1:16" x14ac:dyDescent="0.25">
      <c r="B41" s="3" t="s">
        <v>58</v>
      </c>
      <c r="C41" s="19">
        <v>36527</v>
      </c>
      <c r="D41" s="19">
        <v>36526</v>
      </c>
      <c r="E41" s="5" t="str">
        <f>_xlfn.XLOOKUP('Prices Database'!B41,'Customers Masterdata'!F:F,'Customers Masterdata'!G:G)</f>
        <v>Cust A</v>
      </c>
      <c r="F41" s="3" t="s">
        <v>44</v>
      </c>
      <c r="G41" s="5" t="s">
        <v>48</v>
      </c>
      <c r="H41" s="5" t="s">
        <v>174</v>
      </c>
      <c r="I41" s="23">
        <v>0.2</v>
      </c>
      <c r="J41" s="5" t="str">
        <f t="shared" si="1"/>
        <v>XXXXX13652736526V1</v>
      </c>
      <c r="K41" t="s">
        <v>14</v>
      </c>
      <c r="L41" s="7" t="s">
        <v>151</v>
      </c>
      <c r="M41" t="s">
        <v>152</v>
      </c>
      <c r="N41" s="9">
        <v>940.8</v>
      </c>
      <c r="O41" t="s">
        <v>16</v>
      </c>
      <c r="P41" t="s">
        <v>18</v>
      </c>
    </row>
    <row r="42" spans="1:16" x14ac:dyDescent="0.25">
      <c r="B42" s="3" t="s">
        <v>58</v>
      </c>
      <c r="C42" s="19">
        <v>36527</v>
      </c>
      <c r="D42" s="19">
        <v>36526</v>
      </c>
      <c r="E42" s="5" t="str">
        <f>_xlfn.XLOOKUP('Prices Database'!B42,'Customers Masterdata'!F:F,'Customers Masterdata'!G:G)</f>
        <v>Cust A</v>
      </c>
      <c r="F42" s="3" t="s">
        <v>44</v>
      </c>
      <c r="G42" s="5" t="s">
        <v>48</v>
      </c>
      <c r="H42" s="5" t="s">
        <v>174</v>
      </c>
      <c r="I42" s="23">
        <v>0.2</v>
      </c>
      <c r="J42" s="5" t="str">
        <f t="shared" si="1"/>
        <v>XXXXX13652736526V1</v>
      </c>
      <c r="K42" t="s">
        <v>14</v>
      </c>
      <c r="L42" s="7" t="s">
        <v>153</v>
      </c>
      <c r="M42" t="s">
        <v>154</v>
      </c>
      <c r="N42" s="9">
        <v>444.8</v>
      </c>
      <c r="O42" t="s">
        <v>16</v>
      </c>
      <c r="P42" t="s">
        <v>18</v>
      </c>
    </row>
    <row r="43" spans="1:16" x14ac:dyDescent="0.25">
      <c r="B43" s="3" t="s">
        <v>58</v>
      </c>
      <c r="C43" s="19">
        <v>36527</v>
      </c>
      <c r="D43" s="19">
        <v>36526</v>
      </c>
      <c r="E43" s="5" t="str">
        <f>_xlfn.XLOOKUP('Prices Database'!B43,'Customers Masterdata'!F:F,'Customers Masterdata'!G:G)</f>
        <v>Cust A</v>
      </c>
      <c r="F43" s="3" t="s">
        <v>44</v>
      </c>
      <c r="G43" s="5" t="s">
        <v>48</v>
      </c>
      <c r="H43" s="5" t="s">
        <v>174</v>
      </c>
      <c r="I43" s="23">
        <v>0</v>
      </c>
      <c r="J43" s="5" t="str">
        <f t="shared" si="1"/>
        <v>XXXXX13652736526V1</v>
      </c>
      <c r="K43" t="s">
        <v>14</v>
      </c>
      <c r="L43" s="7" t="s">
        <v>155</v>
      </c>
      <c r="M43" t="s">
        <v>156</v>
      </c>
      <c r="N43" s="9">
        <v>1298</v>
      </c>
      <c r="O43" t="s">
        <v>16</v>
      </c>
      <c r="P43" t="s">
        <v>18</v>
      </c>
    </row>
    <row r="44" spans="1:16" x14ac:dyDescent="0.25">
      <c r="A44" t="s">
        <v>165</v>
      </c>
      <c r="B44" s="3" t="s">
        <v>58</v>
      </c>
      <c r="C44" s="19">
        <v>45444</v>
      </c>
      <c r="D44" s="19">
        <v>45454</v>
      </c>
      <c r="E44" s="5" t="str">
        <f>_xlfn.XLOOKUP('Prices Database'!B44,'Customers Masterdata'!F:F,'Customers Masterdata'!G:G)</f>
        <v>Cust A</v>
      </c>
      <c r="F44" s="3" t="s">
        <v>30</v>
      </c>
      <c r="G44" s="5" t="s">
        <v>163</v>
      </c>
      <c r="H44" s="5" t="s">
        <v>174</v>
      </c>
      <c r="I44" s="23">
        <v>0.1</v>
      </c>
      <c r="J44" s="5" t="str">
        <f t="shared" si="1"/>
        <v>XXXXX14544445454V2</v>
      </c>
      <c r="K44" t="s">
        <v>11</v>
      </c>
      <c r="L44" s="7" t="s">
        <v>74</v>
      </c>
      <c r="M44" t="s">
        <v>75</v>
      </c>
      <c r="N44" s="9">
        <v>1301.4000000000001</v>
      </c>
      <c r="O44" t="s">
        <v>16</v>
      </c>
      <c r="P44" t="s">
        <v>17</v>
      </c>
    </row>
    <row r="45" spans="1:16" x14ac:dyDescent="0.25">
      <c r="A45" t="s">
        <v>165</v>
      </c>
      <c r="B45" s="3" t="s">
        <v>58</v>
      </c>
      <c r="C45" s="19">
        <v>45444</v>
      </c>
      <c r="D45" s="19">
        <v>45454</v>
      </c>
      <c r="E45" s="5" t="str">
        <f>_xlfn.XLOOKUP('Prices Database'!B45,'Customers Masterdata'!F:F,'Customers Masterdata'!G:G)</f>
        <v>Cust A</v>
      </c>
      <c r="F45" s="3" t="s">
        <v>30</v>
      </c>
      <c r="G45" s="5" t="s">
        <v>163</v>
      </c>
      <c r="H45" s="5" t="s">
        <v>174</v>
      </c>
      <c r="I45" s="23">
        <v>0.1</v>
      </c>
      <c r="J45" s="5" t="str">
        <f t="shared" si="1"/>
        <v>XXXXX14544445454V2</v>
      </c>
      <c r="K45" t="s">
        <v>11</v>
      </c>
      <c r="L45" s="7" t="s">
        <v>76</v>
      </c>
      <c r="M45" t="s">
        <v>77</v>
      </c>
      <c r="N45" s="9">
        <v>72.900000000000006</v>
      </c>
      <c r="O45" t="s">
        <v>16</v>
      </c>
      <c r="P45" t="s">
        <v>17</v>
      </c>
    </row>
    <row r="46" spans="1:16" x14ac:dyDescent="0.25">
      <c r="B46" s="3" t="s">
        <v>58</v>
      </c>
      <c r="C46" s="19">
        <v>45444</v>
      </c>
      <c r="D46" s="19">
        <v>45454</v>
      </c>
      <c r="E46" s="5" t="str">
        <f>_xlfn.XLOOKUP('Prices Database'!B46,'Customers Masterdata'!F:F,'Customers Masterdata'!G:G)</f>
        <v>Cust A</v>
      </c>
      <c r="F46" s="3" t="s">
        <v>30</v>
      </c>
      <c r="G46" s="5" t="s">
        <v>163</v>
      </c>
      <c r="H46" s="5" t="s">
        <v>174</v>
      </c>
      <c r="I46" s="23">
        <v>0.1</v>
      </c>
      <c r="J46" s="5" t="str">
        <f t="shared" si="1"/>
        <v>XXXXX14544445454V2</v>
      </c>
      <c r="K46" t="s">
        <v>11</v>
      </c>
      <c r="L46" s="7" t="s">
        <v>78</v>
      </c>
      <c r="M46" t="s">
        <v>79</v>
      </c>
      <c r="N46" s="9">
        <v>414.9</v>
      </c>
      <c r="O46" t="s">
        <v>16</v>
      </c>
      <c r="P46" t="s">
        <v>17</v>
      </c>
    </row>
    <row r="47" spans="1:16" x14ac:dyDescent="0.25">
      <c r="B47" s="3" t="s">
        <v>58</v>
      </c>
      <c r="C47" s="19">
        <v>45444</v>
      </c>
      <c r="D47" s="19">
        <v>45454</v>
      </c>
      <c r="E47" s="5" t="str">
        <f>_xlfn.XLOOKUP('Prices Database'!B47,'Customers Masterdata'!F:F,'Customers Masterdata'!G:G)</f>
        <v>Cust A</v>
      </c>
      <c r="F47" s="3" t="s">
        <v>30</v>
      </c>
      <c r="G47" s="5" t="s">
        <v>163</v>
      </c>
      <c r="H47" s="5" t="s">
        <v>174</v>
      </c>
      <c r="I47" s="23">
        <v>0.1</v>
      </c>
      <c r="J47" s="5" t="str">
        <f t="shared" si="1"/>
        <v>XXXXX14544445454V2</v>
      </c>
      <c r="K47" t="s">
        <v>11</v>
      </c>
      <c r="L47" s="7" t="s">
        <v>80</v>
      </c>
      <c r="M47" t="s">
        <v>81</v>
      </c>
      <c r="N47" s="9">
        <v>306.89999999999998</v>
      </c>
      <c r="O47" t="s">
        <v>16</v>
      </c>
      <c r="P47" t="s">
        <v>17</v>
      </c>
    </row>
    <row r="48" spans="1:16" x14ac:dyDescent="0.25">
      <c r="B48" s="3" t="s">
        <v>58</v>
      </c>
      <c r="C48" s="19">
        <v>45444</v>
      </c>
      <c r="D48" s="19">
        <v>45454</v>
      </c>
      <c r="E48" s="5" t="str">
        <f>_xlfn.XLOOKUP('Prices Database'!B48,'Customers Masterdata'!F:F,'Customers Masterdata'!G:G)</f>
        <v>Cust A</v>
      </c>
      <c r="F48" s="3" t="s">
        <v>30</v>
      </c>
      <c r="G48" s="5" t="s">
        <v>163</v>
      </c>
      <c r="H48" s="5" t="s">
        <v>174</v>
      </c>
      <c r="I48" s="23">
        <v>0.1</v>
      </c>
      <c r="J48" s="5" t="str">
        <f t="shared" si="1"/>
        <v>XXXXX14544445454V2</v>
      </c>
      <c r="K48" t="s">
        <v>11</v>
      </c>
      <c r="L48" s="7" t="s">
        <v>15</v>
      </c>
      <c r="M48" t="s">
        <v>82</v>
      </c>
      <c r="N48" s="9">
        <v>1512.9</v>
      </c>
      <c r="O48" t="s">
        <v>16</v>
      </c>
      <c r="P48" t="s">
        <v>17</v>
      </c>
    </row>
    <row r="49" spans="2:16" x14ac:dyDescent="0.25">
      <c r="B49" s="3" t="s">
        <v>58</v>
      </c>
      <c r="C49" s="19">
        <v>45444</v>
      </c>
      <c r="D49" s="19">
        <v>45454</v>
      </c>
      <c r="E49" s="5" t="str">
        <f>_xlfn.XLOOKUP('Prices Database'!B49,'Customers Masterdata'!F:F,'Customers Masterdata'!G:G)</f>
        <v>Cust A</v>
      </c>
      <c r="F49" s="3" t="s">
        <v>30</v>
      </c>
      <c r="G49" s="5" t="s">
        <v>163</v>
      </c>
      <c r="H49" s="5" t="s">
        <v>174</v>
      </c>
      <c r="I49" s="23">
        <v>0.1</v>
      </c>
      <c r="J49" s="5" t="str">
        <f t="shared" si="1"/>
        <v>XXXXX14544445454V2</v>
      </c>
      <c r="K49" t="s">
        <v>11</v>
      </c>
      <c r="L49" s="7" t="s">
        <v>83</v>
      </c>
      <c r="M49" t="s">
        <v>84</v>
      </c>
      <c r="N49" s="9">
        <v>846</v>
      </c>
      <c r="O49" t="s">
        <v>16</v>
      </c>
      <c r="P49" t="s">
        <v>17</v>
      </c>
    </row>
    <row r="50" spans="2:16" x14ac:dyDescent="0.25">
      <c r="B50" s="3" t="s">
        <v>58</v>
      </c>
      <c r="C50" s="19">
        <v>45444</v>
      </c>
      <c r="D50" s="19">
        <v>45454</v>
      </c>
      <c r="E50" s="5" t="str">
        <f>_xlfn.XLOOKUP('Prices Database'!B50,'Customers Masterdata'!F:F,'Customers Masterdata'!G:G)</f>
        <v>Cust A</v>
      </c>
      <c r="F50" s="3" t="s">
        <v>30</v>
      </c>
      <c r="G50" s="5" t="s">
        <v>163</v>
      </c>
      <c r="H50" s="5" t="s">
        <v>174</v>
      </c>
      <c r="I50" s="23">
        <v>0.1</v>
      </c>
      <c r="J50" s="5" t="str">
        <f t="shared" si="1"/>
        <v>XXXXX14544445454V2</v>
      </c>
      <c r="K50" t="s">
        <v>11</v>
      </c>
      <c r="L50" s="7" t="s">
        <v>85</v>
      </c>
      <c r="M50" t="s">
        <v>86</v>
      </c>
      <c r="N50" s="9">
        <v>897.3</v>
      </c>
      <c r="O50" t="s">
        <v>16</v>
      </c>
      <c r="P50" t="s">
        <v>17</v>
      </c>
    </row>
    <row r="51" spans="2:16" x14ac:dyDescent="0.25">
      <c r="B51" s="3" t="s">
        <v>58</v>
      </c>
      <c r="C51" s="19">
        <v>45444</v>
      </c>
      <c r="D51" s="19">
        <v>45454</v>
      </c>
      <c r="E51" s="5" t="str">
        <f>_xlfn.XLOOKUP('Prices Database'!B51,'Customers Masterdata'!F:F,'Customers Masterdata'!G:G)</f>
        <v>Cust A</v>
      </c>
      <c r="F51" s="3" t="s">
        <v>30</v>
      </c>
      <c r="G51" s="5" t="s">
        <v>163</v>
      </c>
      <c r="H51" s="5" t="s">
        <v>174</v>
      </c>
      <c r="I51" s="23">
        <v>0.1</v>
      </c>
      <c r="J51" s="5" t="str">
        <f t="shared" si="1"/>
        <v>XXXXX14544445454V2</v>
      </c>
      <c r="K51" t="s">
        <v>11</v>
      </c>
      <c r="L51" s="7" t="s">
        <v>87</v>
      </c>
      <c r="M51" t="s">
        <v>88</v>
      </c>
      <c r="N51" s="9">
        <v>260.10000000000002</v>
      </c>
      <c r="O51" t="s">
        <v>16</v>
      </c>
      <c r="P51" t="s">
        <v>17</v>
      </c>
    </row>
    <row r="52" spans="2:16" x14ac:dyDescent="0.25">
      <c r="B52" s="3" t="s">
        <v>58</v>
      </c>
      <c r="C52" s="19">
        <v>45444</v>
      </c>
      <c r="D52" s="19">
        <v>45454</v>
      </c>
      <c r="E52" s="5" t="str">
        <f>_xlfn.XLOOKUP('Prices Database'!B52,'Customers Masterdata'!F:F,'Customers Masterdata'!G:G)</f>
        <v>Cust A</v>
      </c>
      <c r="F52" s="3" t="s">
        <v>30</v>
      </c>
      <c r="G52" s="5" t="s">
        <v>163</v>
      </c>
      <c r="H52" s="5" t="s">
        <v>174</v>
      </c>
      <c r="I52" s="23">
        <v>0.1</v>
      </c>
      <c r="J52" s="5" t="str">
        <f t="shared" si="1"/>
        <v>XXXXX14544445454V2</v>
      </c>
      <c r="K52" t="s">
        <v>11</v>
      </c>
      <c r="L52" s="7" t="s">
        <v>89</v>
      </c>
      <c r="M52" t="s">
        <v>90</v>
      </c>
      <c r="N52" s="9">
        <v>612.9</v>
      </c>
      <c r="O52" t="s">
        <v>16</v>
      </c>
      <c r="P52" t="s">
        <v>17</v>
      </c>
    </row>
    <row r="53" spans="2:16" x14ac:dyDescent="0.25">
      <c r="B53" s="3" t="s">
        <v>58</v>
      </c>
      <c r="C53" s="19">
        <v>45444</v>
      </c>
      <c r="D53" s="19">
        <v>45454</v>
      </c>
      <c r="E53" s="5" t="str">
        <f>_xlfn.XLOOKUP('Prices Database'!B53,'Customers Masterdata'!F:F,'Customers Masterdata'!G:G)</f>
        <v>Cust A</v>
      </c>
      <c r="F53" s="3" t="s">
        <v>30</v>
      </c>
      <c r="G53" s="5" t="s">
        <v>163</v>
      </c>
      <c r="H53" s="5" t="s">
        <v>174</v>
      </c>
      <c r="I53" s="23">
        <v>0.1</v>
      </c>
      <c r="J53" s="5" t="str">
        <f t="shared" si="1"/>
        <v>XXXXX14544445454V2</v>
      </c>
      <c r="K53" t="s">
        <v>11</v>
      </c>
      <c r="L53" s="7" t="s">
        <v>91</v>
      </c>
      <c r="M53" t="s">
        <v>92</v>
      </c>
      <c r="N53" s="9">
        <v>927.9</v>
      </c>
      <c r="O53" t="s">
        <v>16</v>
      </c>
      <c r="P53" t="s">
        <v>17</v>
      </c>
    </row>
    <row r="54" spans="2:16" x14ac:dyDescent="0.25">
      <c r="B54" s="3" t="s">
        <v>58</v>
      </c>
      <c r="C54" s="19">
        <v>45444</v>
      </c>
      <c r="D54" s="19">
        <v>45454</v>
      </c>
      <c r="E54" s="5" t="str">
        <f>_xlfn.XLOOKUP('Prices Database'!B54,'Customers Masterdata'!F:F,'Customers Masterdata'!G:G)</f>
        <v>Cust A</v>
      </c>
      <c r="F54" s="3" t="s">
        <v>30</v>
      </c>
      <c r="G54" s="5" t="s">
        <v>163</v>
      </c>
      <c r="H54" s="5" t="s">
        <v>174</v>
      </c>
      <c r="I54" s="23">
        <v>0.1</v>
      </c>
      <c r="J54" s="5" t="str">
        <f t="shared" si="1"/>
        <v>XXXXX14544445454V2</v>
      </c>
      <c r="K54" t="s">
        <v>11</v>
      </c>
      <c r="L54" s="7" t="s">
        <v>93</v>
      </c>
      <c r="M54" t="s">
        <v>94</v>
      </c>
      <c r="N54" s="9">
        <v>733.5</v>
      </c>
      <c r="O54" t="s">
        <v>16</v>
      </c>
      <c r="P54" t="s">
        <v>17</v>
      </c>
    </row>
    <row r="55" spans="2:16" x14ac:dyDescent="0.25">
      <c r="B55" s="3" t="s">
        <v>58</v>
      </c>
      <c r="C55" s="19">
        <v>45444</v>
      </c>
      <c r="D55" s="19">
        <v>45454</v>
      </c>
      <c r="E55" s="5" t="str">
        <f>_xlfn.XLOOKUP('Prices Database'!B55,'Customers Masterdata'!F:F,'Customers Masterdata'!G:G)</f>
        <v>Cust A</v>
      </c>
      <c r="F55" s="3" t="s">
        <v>30</v>
      </c>
      <c r="G55" s="5" t="s">
        <v>163</v>
      </c>
      <c r="H55" s="5" t="s">
        <v>174</v>
      </c>
      <c r="I55" s="23">
        <v>0.1</v>
      </c>
      <c r="J55" s="5" t="str">
        <f t="shared" si="1"/>
        <v>XXXXX14544445454V2</v>
      </c>
      <c r="K55" t="s">
        <v>11</v>
      </c>
      <c r="L55" s="7" t="s">
        <v>95</v>
      </c>
      <c r="M55" t="s">
        <v>96</v>
      </c>
      <c r="N55" s="9">
        <v>228.6</v>
      </c>
      <c r="O55" t="s">
        <v>16</v>
      </c>
      <c r="P55" t="s">
        <v>17</v>
      </c>
    </row>
    <row r="56" spans="2:16" x14ac:dyDescent="0.25">
      <c r="B56" s="3" t="s">
        <v>58</v>
      </c>
      <c r="C56" s="19">
        <v>45444</v>
      </c>
      <c r="D56" s="19">
        <v>45454</v>
      </c>
      <c r="E56" s="5" t="str">
        <f>_xlfn.XLOOKUP('Prices Database'!B56,'Customers Masterdata'!F:F,'Customers Masterdata'!G:G)</f>
        <v>Cust A</v>
      </c>
      <c r="F56" s="3" t="s">
        <v>30</v>
      </c>
      <c r="G56" s="5" t="s">
        <v>163</v>
      </c>
      <c r="H56" s="5" t="s">
        <v>174</v>
      </c>
      <c r="I56" s="23">
        <v>0.1</v>
      </c>
      <c r="J56" s="5" t="str">
        <f t="shared" si="1"/>
        <v>XXXXX14544445454V2</v>
      </c>
      <c r="K56" t="s">
        <v>11</v>
      </c>
      <c r="L56" s="7" t="s">
        <v>97</v>
      </c>
      <c r="M56" t="s">
        <v>98</v>
      </c>
      <c r="N56" s="9">
        <v>1214.0999999999999</v>
      </c>
      <c r="O56" t="s">
        <v>16</v>
      </c>
      <c r="P56" t="s">
        <v>17</v>
      </c>
    </row>
    <row r="57" spans="2:16" x14ac:dyDescent="0.25">
      <c r="B57" s="3" t="s">
        <v>58</v>
      </c>
      <c r="C57" s="19">
        <v>45444</v>
      </c>
      <c r="D57" s="19">
        <v>45454</v>
      </c>
      <c r="E57" s="5" t="str">
        <f>_xlfn.XLOOKUP('Prices Database'!B57,'Customers Masterdata'!F:F,'Customers Masterdata'!G:G)</f>
        <v>Cust A</v>
      </c>
      <c r="F57" s="3" t="s">
        <v>30</v>
      </c>
      <c r="G57" s="5" t="s">
        <v>163</v>
      </c>
      <c r="H57" s="5" t="s">
        <v>174</v>
      </c>
      <c r="I57" s="23">
        <v>0.1</v>
      </c>
      <c r="J57" s="5" t="str">
        <f t="shared" si="1"/>
        <v>XXXXX14544445454V2</v>
      </c>
      <c r="K57" t="s">
        <v>12</v>
      </c>
      <c r="L57" s="7" t="s">
        <v>99</v>
      </c>
      <c r="M57" t="s">
        <v>100</v>
      </c>
      <c r="N57" s="9">
        <v>1053.9000000000001</v>
      </c>
      <c r="O57" t="s">
        <v>16</v>
      </c>
      <c r="P57" t="s">
        <v>18</v>
      </c>
    </row>
    <row r="58" spans="2:16" x14ac:dyDescent="0.25">
      <c r="B58" s="3" t="s">
        <v>58</v>
      </c>
      <c r="C58" s="19">
        <v>45444</v>
      </c>
      <c r="D58" s="19">
        <v>45454</v>
      </c>
      <c r="E58" s="5" t="str">
        <f>_xlfn.XLOOKUP('Prices Database'!B58,'Customers Masterdata'!F:F,'Customers Masterdata'!G:G)</f>
        <v>Cust A</v>
      </c>
      <c r="F58" s="3" t="s">
        <v>30</v>
      </c>
      <c r="G58" s="5" t="s">
        <v>163</v>
      </c>
      <c r="H58" s="5" t="s">
        <v>174</v>
      </c>
      <c r="I58" s="23">
        <v>0.1</v>
      </c>
      <c r="J58" s="5" t="str">
        <f t="shared" si="1"/>
        <v>XXXXX14544445454V2</v>
      </c>
      <c r="K58" t="s">
        <v>12</v>
      </c>
      <c r="L58" s="7" t="s">
        <v>101</v>
      </c>
      <c r="M58" t="s">
        <v>102</v>
      </c>
      <c r="N58" s="9">
        <v>204.3</v>
      </c>
      <c r="O58" t="s">
        <v>16</v>
      </c>
      <c r="P58" t="s">
        <v>18</v>
      </c>
    </row>
    <row r="59" spans="2:16" x14ac:dyDescent="0.25">
      <c r="B59" s="3" t="s">
        <v>58</v>
      </c>
      <c r="C59" s="19">
        <v>45444</v>
      </c>
      <c r="D59" s="19">
        <v>45454</v>
      </c>
      <c r="E59" s="5" t="str">
        <f>_xlfn.XLOOKUP('Prices Database'!B59,'Customers Masterdata'!F:F,'Customers Masterdata'!G:G)</f>
        <v>Cust A</v>
      </c>
      <c r="F59" s="3" t="s">
        <v>30</v>
      </c>
      <c r="G59" s="5" t="s">
        <v>163</v>
      </c>
      <c r="H59" s="5" t="s">
        <v>174</v>
      </c>
      <c r="I59" s="23">
        <v>0.1</v>
      </c>
      <c r="J59" s="5" t="str">
        <f t="shared" si="1"/>
        <v>XXXXX14544445454V2</v>
      </c>
      <c r="K59" t="s">
        <v>12</v>
      </c>
      <c r="L59" s="7" t="s">
        <v>103</v>
      </c>
      <c r="M59" t="s">
        <v>104</v>
      </c>
      <c r="N59" s="9">
        <v>414.9</v>
      </c>
      <c r="O59" t="s">
        <v>16</v>
      </c>
      <c r="P59" t="s">
        <v>18</v>
      </c>
    </row>
    <row r="60" spans="2:16" x14ac:dyDescent="0.25">
      <c r="B60" s="3" t="s">
        <v>58</v>
      </c>
      <c r="C60" s="19">
        <v>45444</v>
      </c>
      <c r="D60" s="19">
        <v>45454</v>
      </c>
      <c r="E60" s="5" t="str">
        <f>_xlfn.XLOOKUP('Prices Database'!B60,'Customers Masterdata'!F:F,'Customers Masterdata'!G:G)</f>
        <v>Cust A</v>
      </c>
      <c r="F60" s="3" t="s">
        <v>30</v>
      </c>
      <c r="G60" s="5" t="s">
        <v>163</v>
      </c>
      <c r="H60" s="5" t="s">
        <v>174</v>
      </c>
      <c r="I60" s="23">
        <v>0.1</v>
      </c>
      <c r="J60" s="5" t="str">
        <f t="shared" si="1"/>
        <v>XXXXX14544445454V2</v>
      </c>
      <c r="K60" t="s">
        <v>12</v>
      </c>
      <c r="L60" s="7" t="s">
        <v>105</v>
      </c>
      <c r="M60" t="s">
        <v>106</v>
      </c>
      <c r="N60" s="9">
        <v>904.5</v>
      </c>
      <c r="O60" t="s">
        <v>16</v>
      </c>
      <c r="P60" t="s">
        <v>18</v>
      </c>
    </row>
    <row r="61" spans="2:16" x14ac:dyDescent="0.25">
      <c r="B61" s="3" t="s">
        <v>58</v>
      </c>
      <c r="C61" s="19">
        <v>45444</v>
      </c>
      <c r="D61" s="19">
        <v>45454</v>
      </c>
      <c r="E61" s="5" t="str">
        <f>_xlfn.XLOOKUP('Prices Database'!B61,'Customers Masterdata'!F:F,'Customers Masterdata'!G:G)</f>
        <v>Cust A</v>
      </c>
      <c r="F61" s="3" t="s">
        <v>30</v>
      </c>
      <c r="G61" s="5" t="s">
        <v>163</v>
      </c>
      <c r="H61" s="5" t="s">
        <v>174</v>
      </c>
      <c r="I61" s="23">
        <v>0.1</v>
      </c>
      <c r="J61" s="5" t="str">
        <f t="shared" si="1"/>
        <v>XXXXX14544445454V2</v>
      </c>
      <c r="K61" t="s">
        <v>31</v>
      </c>
      <c r="L61" s="7" t="s">
        <v>107</v>
      </c>
      <c r="M61" t="s">
        <v>108</v>
      </c>
      <c r="N61" s="9">
        <v>411.3</v>
      </c>
      <c r="O61" t="s">
        <v>16</v>
      </c>
      <c r="P61" t="s">
        <v>18</v>
      </c>
    </row>
    <row r="62" spans="2:16" x14ac:dyDescent="0.25">
      <c r="B62" s="3" t="s">
        <v>58</v>
      </c>
      <c r="C62" s="19">
        <v>45444</v>
      </c>
      <c r="D62" s="19">
        <v>45454</v>
      </c>
      <c r="E62" s="5" t="str">
        <f>_xlfn.XLOOKUP('Prices Database'!B62,'Customers Masterdata'!F:F,'Customers Masterdata'!G:G)</f>
        <v>Cust A</v>
      </c>
      <c r="F62" s="3" t="s">
        <v>30</v>
      </c>
      <c r="G62" s="5" t="s">
        <v>163</v>
      </c>
      <c r="H62" s="5" t="s">
        <v>174</v>
      </c>
      <c r="I62" s="23">
        <v>0.1</v>
      </c>
      <c r="J62" s="5" t="str">
        <f t="shared" si="1"/>
        <v>XXXXX14544445454V2</v>
      </c>
      <c r="K62" t="s">
        <v>31</v>
      </c>
      <c r="L62" s="7" t="s">
        <v>109</v>
      </c>
      <c r="M62" t="s">
        <v>110</v>
      </c>
      <c r="N62" s="9">
        <v>599.4</v>
      </c>
      <c r="O62" t="s">
        <v>16</v>
      </c>
      <c r="P62" t="s">
        <v>18</v>
      </c>
    </row>
    <row r="63" spans="2:16" x14ac:dyDescent="0.25">
      <c r="B63" s="3" t="s">
        <v>58</v>
      </c>
      <c r="C63" s="19">
        <v>45444</v>
      </c>
      <c r="D63" s="19">
        <v>45454</v>
      </c>
      <c r="E63" s="5" t="str">
        <f>_xlfn.XLOOKUP('Prices Database'!B63,'Customers Masterdata'!F:F,'Customers Masterdata'!G:G)</f>
        <v>Cust A</v>
      </c>
      <c r="F63" s="3" t="s">
        <v>30</v>
      </c>
      <c r="G63" s="5" t="s">
        <v>163</v>
      </c>
      <c r="H63" s="5" t="s">
        <v>174</v>
      </c>
      <c r="I63" s="23">
        <v>0.1</v>
      </c>
      <c r="J63" s="5" t="str">
        <f t="shared" si="1"/>
        <v>XXXXX14544445454V2</v>
      </c>
      <c r="K63" t="s">
        <v>31</v>
      </c>
      <c r="L63" s="7" t="s">
        <v>111</v>
      </c>
      <c r="M63" t="s">
        <v>112</v>
      </c>
      <c r="N63" s="9">
        <v>1294.2</v>
      </c>
      <c r="O63" t="s">
        <v>16</v>
      </c>
      <c r="P63" t="s">
        <v>18</v>
      </c>
    </row>
    <row r="64" spans="2:16" x14ac:dyDescent="0.25">
      <c r="B64" s="3" t="s">
        <v>58</v>
      </c>
      <c r="C64" s="19">
        <v>45444</v>
      </c>
      <c r="D64" s="19">
        <v>45454</v>
      </c>
      <c r="E64" s="5" t="str">
        <f>_xlfn.XLOOKUP('Prices Database'!B64,'Customers Masterdata'!F:F,'Customers Masterdata'!G:G)</f>
        <v>Cust A</v>
      </c>
      <c r="F64" s="3" t="s">
        <v>30</v>
      </c>
      <c r="G64" s="5" t="s">
        <v>163</v>
      </c>
      <c r="H64" s="5" t="s">
        <v>174</v>
      </c>
      <c r="I64" s="23">
        <v>0.1</v>
      </c>
      <c r="J64" s="5" t="str">
        <f t="shared" si="1"/>
        <v>XXXXX14544445454V2</v>
      </c>
      <c r="K64" t="s">
        <v>31</v>
      </c>
      <c r="L64" s="7" t="s">
        <v>113</v>
      </c>
      <c r="M64" t="s">
        <v>114</v>
      </c>
      <c r="N64" s="9">
        <v>377.1</v>
      </c>
      <c r="O64" t="s">
        <v>16</v>
      </c>
      <c r="P64" t="s">
        <v>18</v>
      </c>
    </row>
    <row r="65" spans="2:16" x14ac:dyDescent="0.25">
      <c r="B65" s="3" t="s">
        <v>58</v>
      </c>
      <c r="C65" s="19">
        <v>45444</v>
      </c>
      <c r="D65" s="19">
        <v>45454</v>
      </c>
      <c r="E65" s="5" t="str">
        <f>_xlfn.XLOOKUP('Prices Database'!B65,'Customers Masterdata'!F:F,'Customers Masterdata'!G:G)</f>
        <v>Cust A</v>
      </c>
      <c r="F65" s="3" t="s">
        <v>30</v>
      </c>
      <c r="G65" s="5" t="s">
        <v>163</v>
      </c>
      <c r="H65" s="5" t="s">
        <v>174</v>
      </c>
      <c r="I65" s="23">
        <v>0.1</v>
      </c>
      <c r="J65" s="5" t="str">
        <f t="shared" si="1"/>
        <v>XXXXX14544445454V2</v>
      </c>
      <c r="K65" t="s">
        <v>31</v>
      </c>
      <c r="L65" s="7" t="s">
        <v>115</v>
      </c>
      <c r="M65" t="s">
        <v>116</v>
      </c>
      <c r="N65" s="9">
        <v>632.70000000000005</v>
      </c>
      <c r="O65" t="s">
        <v>16</v>
      </c>
      <c r="P65" t="s">
        <v>18</v>
      </c>
    </row>
    <row r="66" spans="2:16" x14ac:dyDescent="0.25">
      <c r="B66" s="3" t="s">
        <v>58</v>
      </c>
      <c r="C66" s="19">
        <v>45444</v>
      </c>
      <c r="D66" s="19">
        <v>45454</v>
      </c>
      <c r="E66" s="5" t="str">
        <f>_xlfn.XLOOKUP('Prices Database'!B66,'Customers Masterdata'!F:F,'Customers Masterdata'!G:G)</f>
        <v>Cust A</v>
      </c>
      <c r="F66" s="3" t="s">
        <v>30</v>
      </c>
      <c r="G66" s="5" t="s">
        <v>163</v>
      </c>
      <c r="H66" s="5" t="s">
        <v>174</v>
      </c>
      <c r="I66" s="23">
        <v>0.1</v>
      </c>
      <c r="J66" s="5" t="str">
        <f t="shared" ref="J66:J99" si="2">B66&amp;C66&amp;D66&amp;F66</f>
        <v>XXXXX14544445454V2</v>
      </c>
      <c r="K66" t="s">
        <v>13</v>
      </c>
      <c r="L66" s="7" t="s">
        <v>117</v>
      </c>
      <c r="M66" t="s">
        <v>118</v>
      </c>
      <c r="N66" s="9">
        <v>1426.5</v>
      </c>
      <c r="O66" t="s">
        <v>16</v>
      </c>
      <c r="P66" t="s">
        <v>18</v>
      </c>
    </row>
    <row r="67" spans="2:16" x14ac:dyDescent="0.25">
      <c r="B67" s="3" t="s">
        <v>58</v>
      </c>
      <c r="C67" s="19">
        <v>45444</v>
      </c>
      <c r="D67" s="19">
        <v>45454</v>
      </c>
      <c r="E67" s="5" t="str">
        <f>_xlfn.XLOOKUP('Prices Database'!B67,'Customers Masterdata'!F:F,'Customers Masterdata'!G:G)</f>
        <v>Cust A</v>
      </c>
      <c r="F67" s="3" t="s">
        <v>30</v>
      </c>
      <c r="G67" s="5" t="s">
        <v>163</v>
      </c>
      <c r="H67" s="5" t="s">
        <v>174</v>
      </c>
      <c r="I67" s="23">
        <v>0.1</v>
      </c>
      <c r="J67" s="5" t="str">
        <f t="shared" si="2"/>
        <v>XXXXX14544445454V2</v>
      </c>
      <c r="K67" t="s">
        <v>13</v>
      </c>
      <c r="L67" s="7" t="s">
        <v>119</v>
      </c>
      <c r="M67" t="s">
        <v>120</v>
      </c>
      <c r="N67" s="9">
        <v>483.3</v>
      </c>
      <c r="O67" t="s">
        <v>16</v>
      </c>
      <c r="P67" t="s">
        <v>18</v>
      </c>
    </row>
    <row r="68" spans="2:16" x14ac:dyDescent="0.25">
      <c r="B68" s="3" t="s">
        <v>58</v>
      </c>
      <c r="C68" s="19">
        <v>45444</v>
      </c>
      <c r="D68" s="19">
        <v>45454</v>
      </c>
      <c r="E68" s="5" t="str">
        <f>_xlfn.XLOOKUP('Prices Database'!B68,'Customers Masterdata'!F:F,'Customers Masterdata'!G:G)</f>
        <v>Cust A</v>
      </c>
      <c r="F68" s="3" t="s">
        <v>30</v>
      </c>
      <c r="G68" s="5" t="s">
        <v>163</v>
      </c>
      <c r="H68" s="5" t="s">
        <v>174</v>
      </c>
      <c r="I68" s="23">
        <v>0.1</v>
      </c>
      <c r="J68" s="5" t="str">
        <f t="shared" si="2"/>
        <v>XXXXX14544445454V2</v>
      </c>
      <c r="K68" t="s">
        <v>13</v>
      </c>
      <c r="L68" s="7" t="s">
        <v>121</v>
      </c>
      <c r="M68" t="s">
        <v>122</v>
      </c>
      <c r="N68" s="9">
        <v>399.6</v>
      </c>
      <c r="O68" t="s">
        <v>16</v>
      </c>
      <c r="P68" t="s">
        <v>18</v>
      </c>
    </row>
    <row r="69" spans="2:16" x14ac:dyDescent="0.25">
      <c r="B69" s="3" t="s">
        <v>58</v>
      </c>
      <c r="C69" s="19">
        <v>45444</v>
      </c>
      <c r="D69" s="19">
        <v>45454</v>
      </c>
      <c r="E69" s="5" t="str">
        <f>_xlfn.XLOOKUP('Prices Database'!B69,'Customers Masterdata'!F:F,'Customers Masterdata'!G:G)</f>
        <v>Cust A</v>
      </c>
      <c r="F69" s="3" t="s">
        <v>30</v>
      </c>
      <c r="G69" s="5" t="s">
        <v>163</v>
      </c>
      <c r="H69" s="5" t="s">
        <v>174</v>
      </c>
      <c r="I69" s="23">
        <v>0.2</v>
      </c>
      <c r="J69" s="5" t="str">
        <f t="shared" si="2"/>
        <v>XXXXX14544445454V2</v>
      </c>
      <c r="K69" t="s">
        <v>13</v>
      </c>
      <c r="L69" s="7" t="s">
        <v>123</v>
      </c>
      <c r="M69" t="s">
        <v>124</v>
      </c>
      <c r="N69" s="9">
        <v>1186.4000000000001</v>
      </c>
      <c r="O69" t="s">
        <v>16</v>
      </c>
      <c r="P69" t="s">
        <v>18</v>
      </c>
    </row>
    <row r="70" spans="2:16" x14ac:dyDescent="0.25">
      <c r="B70" s="3" t="s">
        <v>58</v>
      </c>
      <c r="C70" s="19">
        <v>45444</v>
      </c>
      <c r="D70" s="19">
        <v>45454</v>
      </c>
      <c r="E70" s="5" t="str">
        <f>_xlfn.XLOOKUP('Prices Database'!B70,'Customers Masterdata'!F:F,'Customers Masterdata'!G:G)</f>
        <v>Cust A</v>
      </c>
      <c r="F70" s="3" t="s">
        <v>30</v>
      </c>
      <c r="G70" s="5" t="s">
        <v>163</v>
      </c>
      <c r="H70" s="5" t="s">
        <v>174</v>
      </c>
      <c r="I70" s="23">
        <v>0.2</v>
      </c>
      <c r="J70" s="5" t="str">
        <f t="shared" si="2"/>
        <v>XXXXX14544445454V2</v>
      </c>
      <c r="K70" t="s">
        <v>13</v>
      </c>
      <c r="L70" s="7" t="s">
        <v>125</v>
      </c>
      <c r="M70" t="s">
        <v>126</v>
      </c>
      <c r="N70" s="9">
        <v>865.6</v>
      </c>
      <c r="O70" t="s">
        <v>16</v>
      </c>
      <c r="P70" t="s">
        <v>18</v>
      </c>
    </row>
    <row r="71" spans="2:16" x14ac:dyDescent="0.25">
      <c r="B71" s="3" t="s">
        <v>58</v>
      </c>
      <c r="C71" s="19">
        <v>45444</v>
      </c>
      <c r="D71" s="19">
        <v>45454</v>
      </c>
      <c r="E71" s="5" t="str">
        <f>_xlfn.XLOOKUP('Prices Database'!B71,'Customers Masterdata'!F:F,'Customers Masterdata'!G:G)</f>
        <v>Cust A</v>
      </c>
      <c r="F71" s="3" t="s">
        <v>30</v>
      </c>
      <c r="G71" s="5" t="s">
        <v>163</v>
      </c>
      <c r="H71" s="5" t="s">
        <v>174</v>
      </c>
      <c r="I71" s="23">
        <v>0.2</v>
      </c>
      <c r="J71" s="5" t="str">
        <f t="shared" si="2"/>
        <v>XXXXX14544445454V2</v>
      </c>
      <c r="K71" t="s">
        <v>13</v>
      </c>
      <c r="L71" s="7" t="s">
        <v>127</v>
      </c>
      <c r="M71" t="s">
        <v>128</v>
      </c>
      <c r="N71" s="9">
        <v>118.4</v>
      </c>
      <c r="O71" t="s">
        <v>16</v>
      </c>
      <c r="P71" t="s">
        <v>18</v>
      </c>
    </row>
    <row r="72" spans="2:16" x14ac:dyDescent="0.25">
      <c r="B72" s="3" t="s">
        <v>58</v>
      </c>
      <c r="C72" s="19">
        <v>45444</v>
      </c>
      <c r="D72" s="19">
        <v>45454</v>
      </c>
      <c r="E72" s="5" t="str">
        <f>_xlfn.XLOOKUP('Prices Database'!B72,'Customers Masterdata'!F:F,'Customers Masterdata'!G:G)</f>
        <v>Cust A</v>
      </c>
      <c r="F72" s="3" t="s">
        <v>30</v>
      </c>
      <c r="G72" s="5" t="s">
        <v>163</v>
      </c>
      <c r="H72" s="5" t="s">
        <v>174</v>
      </c>
      <c r="I72" s="23">
        <v>0.2</v>
      </c>
      <c r="J72" s="5" t="str">
        <f t="shared" si="2"/>
        <v>XXXXX14544445454V2</v>
      </c>
      <c r="K72" t="s">
        <v>13</v>
      </c>
      <c r="L72" s="7" t="s">
        <v>129</v>
      </c>
      <c r="M72" t="s">
        <v>130</v>
      </c>
      <c r="N72" s="9">
        <v>877.6</v>
      </c>
      <c r="O72" t="s">
        <v>16</v>
      </c>
      <c r="P72" t="s">
        <v>18</v>
      </c>
    </row>
    <row r="73" spans="2:16" x14ac:dyDescent="0.25">
      <c r="B73" s="3" t="s">
        <v>58</v>
      </c>
      <c r="C73" s="19">
        <v>45444</v>
      </c>
      <c r="D73" s="19">
        <v>45454</v>
      </c>
      <c r="E73" s="5" t="str">
        <f>_xlfn.XLOOKUP('Prices Database'!B73,'Customers Masterdata'!F:F,'Customers Masterdata'!G:G)</f>
        <v>Cust A</v>
      </c>
      <c r="F73" s="3" t="s">
        <v>30</v>
      </c>
      <c r="G73" s="5" t="s">
        <v>163</v>
      </c>
      <c r="H73" s="5" t="s">
        <v>174</v>
      </c>
      <c r="I73" s="23">
        <v>0.2</v>
      </c>
      <c r="J73" s="5" t="str">
        <f t="shared" si="2"/>
        <v>XXXXX14544445454V2</v>
      </c>
      <c r="K73" t="s">
        <v>13</v>
      </c>
      <c r="L73" s="7" t="s">
        <v>131</v>
      </c>
      <c r="M73" t="s">
        <v>132</v>
      </c>
      <c r="N73" s="9">
        <v>406.4</v>
      </c>
      <c r="O73" t="s">
        <v>16</v>
      </c>
      <c r="P73" t="s">
        <v>18</v>
      </c>
    </row>
    <row r="74" spans="2:16" x14ac:dyDescent="0.25">
      <c r="B74" s="3" t="s">
        <v>58</v>
      </c>
      <c r="C74" s="19">
        <v>45444</v>
      </c>
      <c r="D74" s="19">
        <v>45454</v>
      </c>
      <c r="E74" s="5" t="str">
        <f>_xlfn.XLOOKUP('Prices Database'!B74,'Customers Masterdata'!F:F,'Customers Masterdata'!G:G)</f>
        <v>Cust A</v>
      </c>
      <c r="F74" s="3" t="s">
        <v>30</v>
      </c>
      <c r="G74" s="5" t="s">
        <v>163</v>
      </c>
      <c r="H74" s="5" t="s">
        <v>174</v>
      </c>
      <c r="I74" s="23">
        <v>0.2</v>
      </c>
      <c r="J74" s="5" t="str">
        <f t="shared" si="2"/>
        <v>XXXXX14544445454V2</v>
      </c>
      <c r="K74" t="s">
        <v>13</v>
      </c>
      <c r="L74" s="7" t="s">
        <v>133</v>
      </c>
      <c r="M74" t="s">
        <v>134</v>
      </c>
      <c r="N74" s="9">
        <v>784</v>
      </c>
      <c r="O74" t="s">
        <v>16</v>
      </c>
      <c r="P74" t="s">
        <v>18</v>
      </c>
    </row>
    <row r="75" spans="2:16" x14ac:dyDescent="0.25">
      <c r="B75" s="3" t="s">
        <v>58</v>
      </c>
      <c r="C75" s="19">
        <v>45444</v>
      </c>
      <c r="D75" s="19">
        <v>45454</v>
      </c>
      <c r="E75" s="5" t="str">
        <f>_xlfn.XLOOKUP('Prices Database'!B75,'Customers Masterdata'!F:F,'Customers Masterdata'!G:G)</f>
        <v>Cust A</v>
      </c>
      <c r="F75" s="3" t="s">
        <v>30</v>
      </c>
      <c r="G75" s="5" t="s">
        <v>163</v>
      </c>
      <c r="H75" s="5" t="s">
        <v>174</v>
      </c>
      <c r="I75" s="23">
        <v>0.2</v>
      </c>
      <c r="J75" s="5" t="str">
        <f t="shared" si="2"/>
        <v>XXXXX14544445454V2</v>
      </c>
      <c r="K75" t="s">
        <v>13</v>
      </c>
      <c r="L75" s="7" t="s">
        <v>135</v>
      </c>
      <c r="M75" t="s">
        <v>136</v>
      </c>
      <c r="N75" s="9">
        <v>51.2</v>
      </c>
      <c r="O75" t="s">
        <v>16</v>
      </c>
      <c r="P75" t="s">
        <v>18</v>
      </c>
    </row>
    <row r="76" spans="2:16" x14ac:dyDescent="0.25">
      <c r="B76" s="3" t="s">
        <v>58</v>
      </c>
      <c r="C76" s="19">
        <v>45444</v>
      </c>
      <c r="D76" s="19">
        <v>45454</v>
      </c>
      <c r="E76" s="5" t="str">
        <f>_xlfn.XLOOKUP('Prices Database'!B76,'Customers Masterdata'!F:F,'Customers Masterdata'!G:G)</f>
        <v>Cust A</v>
      </c>
      <c r="F76" s="3" t="s">
        <v>30</v>
      </c>
      <c r="G76" s="5" t="s">
        <v>163</v>
      </c>
      <c r="H76" s="5" t="s">
        <v>174</v>
      </c>
      <c r="I76" s="23">
        <v>0.2</v>
      </c>
      <c r="J76" s="5" t="str">
        <f t="shared" si="2"/>
        <v>XXXXX14544445454V2</v>
      </c>
      <c r="K76" t="s">
        <v>13</v>
      </c>
      <c r="L76" s="7" t="s">
        <v>137</v>
      </c>
      <c r="M76" t="s">
        <v>138</v>
      </c>
      <c r="N76" s="9">
        <v>88</v>
      </c>
      <c r="O76" t="s">
        <v>16</v>
      </c>
      <c r="P76" t="s">
        <v>18</v>
      </c>
    </row>
    <row r="77" spans="2:16" x14ac:dyDescent="0.25">
      <c r="B77" s="3" t="s">
        <v>58</v>
      </c>
      <c r="C77" s="19">
        <v>45444</v>
      </c>
      <c r="D77" s="19">
        <v>45454</v>
      </c>
      <c r="E77" s="5" t="str">
        <f>_xlfn.XLOOKUP('Prices Database'!B77,'Customers Masterdata'!F:F,'Customers Masterdata'!G:G)</f>
        <v>Cust A</v>
      </c>
      <c r="F77" s="3" t="s">
        <v>30</v>
      </c>
      <c r="G77" s="5" t="s">
        <v>163</v>
      </c>
      <c r="H77" s="5" t="s">
        <v>174</v>
      </c>
      <c r="I77" s="23">
        <v>0.2</v>
      </c>
      <c r="J77" s="5" t="str">
        <f t="shared" si="2"/>
        <v>XXXXX14544445454V2</v>
      </c>
      <c r="K77" t="s">
        <v>13</v>
      </c>
      <c r="L77" s="7" t="s">
        <v>139</v>
      </c>
      <c r="M77" t="s">
        <v>140</v>
      </c>
      <c r="N77" s="9">
        <v>1344</v>
      </c>
      <c r="O77" t="s">
        <v>16</v>
      </c>
      <c r="P77" t="s">
        <v>18</v>
      </c>
    </row>
    <row r="78" spans="2:16" x14ac:dyDescent="0.25">
      <c r="B78" s="3" t="s">
        <v>58</v>
      </c>
      <c r="C78" s="19">
        <v>45444</v>
      </c>
      <c r="D78" s="19">
        <v>45454</v>
      </c>
      <c r="E78" s="5" t="str">
        <f>_xlfn.XLOOKUP('Prices Database'!B78,'Customers Masterdata'!F:F,'Customers Masterdata'!G:G)</f>
        <v>Cust A</v>
      </c>
      <c r="F78" s="3" t="s">
        <v>30</v>
      </c>
      <c r="G78" s="5" t="s">
        <v>163</v>
      </c>
      <c r="H78" s="5" t="s">
        <v>174</v>
      </c>
      <c r="I78" s="23">
        <v>0.2</v>
      </c>
      <c r="J78" s="5" t="str">
        <f t="shared" si="2"/>
        <v>XXXXX14544445454V2</v>
      </c>
      <c r="K78" t="s">
        <v>13</v>
      </c>
      <c r="L78" s="7" t="s">
        <v>141</v>
      </c>
      <c r="M78" t="s">
        <v>142</v>
      </c>
      <c r="N78" s="9">
        <v>408</v>
      </c>
      <c r="O78" t="s">
        <v>16</v>
      </c>
      <c r="P78" t="s">
        <v>18</v>
      </c>
    </row>
    <row r="79" spans="2:16" x14ac:dyDescent="0.25">
      <c r="B79" s="3" t="s">
        <v>58</v>
      </c>
      <c r="C79" s="19">
        <v>45444</v>
      </c>
      <c r="D79" s="19">
        <v>45454</v>
      </c>
      <c r="E79" s="5" t="str">
        <f>_xlfn.XLOOKUP('Prices Database'!B79,'Customers Masterdata'!F:F,'Customers Masterdata'!G:G)</f>
        <v>Cust A</v>
      </c>
      <c r="F79" s="3" t="s">
        <v>30</v>
      </c>
      <c r="G79" s="5" t="s">
        <v>163</v>
      </c>
      <c r="H79" s="5" t="s">
        <v>174</v>
      </c>
      <c r="I79" s="23">
        <v>0.2</v>
      </c>
      <c r="J79" s="5" t="str">
        <f t="shared" si="2"/>
        <v>XXXXX14544445454V2</v>
      </c>
      <c r="K79" t="s">
        <v>13</v>
      </c>
      <c r="L79" s="7" t="s">
        <v>143</v>
      </c>
      <c r="M79" t="s">
        <v>144</v>
      </c>
      <c r="N79" s="9">
        <v>1184.8</v>
      </c>
      <c r="O79" t="s">
        <v>16</v>
      </c>
      <c r="P79" t="s">
        <v>18</v>
      </c>
    </row>
    <row r="80" spans="2:16" x14ac:dyDescent="0.25">
      <c r="B80" s="3" t="s">
        <v>58</v>
      </c>
      <c r="C80" s="19">
        <v>45444</v>
      </c>
      <c r="D80" s="19">
        <v>45454</v>
      </c>
      <c r="E80" s="5" t="str">
        <f>_xlfn.XLOOKUP('Prices Database'!B80,'Customers Masterdata'!F:F,'Customers Masterdata'!G:G)</f>
        <v>Cust A</v>
      </c>
      <c r="F80" s="3" t="s">
        <v>30</v>
      </c>
      <c r="G80" s="5" t="s">
        <v>163</v>
      </c>
      <c r="H80" s="5" t="s">
        <v>174</v>
      </c>
      <c r="I80" s="23">
        <v>0.2</v>
      </c>
      <c r="J80" s="5" t="str">
        <f t="shared" si="2"/>
        <v>XXXXX14544445454V2</v>
      </c>
      <c r="K80" t="s">
        <v>13</v>
      </c>
      <c r="L80" s="7" t="s">
        <v>145</v>
      </c>
      <c r="M80" t="s">
        <v>146</v>
      </c>
      <c r="N80" s="9">
        <v>1410.4</v>
      </c>
      <c r="O80" t="s">
        <v>16</v>
      </c>
      <c r="P80" t="s">
        <v>18</v>
      </c>
    </row>
    <row r="81" spans="2:16" x14ac:dyDescent="0.25">
      <c r="B81" s="3" t="s">
        <v>58</v>
      </c>
      <c r="C81" s="19">
        <v>45444</v>
      </c>
      <c r="D81" s="19">
        <v>45454</v>
      </c>
      <c r="E81" s="5" t="str">
        <f>_xlfn.XLOOKUP('Prices Database'!B81,'Customers Masterdata'!F:F,'Customers Masterdata'!G:G)</f>
        <v>Cust A</v>
      </c>
      <c r="F81" s="3" t="s">
        <v>30</v>
      </c>
      <c r="G81" s="5" t="s">
        <v>163</v>
      </c>
      <c r="H81" s="5" t="s">
        <v>174</v>
      </c>
      <c r="I81" s="23">
        <v>0.2</v>
      </c>
      <c r="J81" s="5" t="str">
        <f t="shared" si="2"/>
        <v>XXXXX14544445454V2</v>
      </c>
      <c r="K81" t="s">
        <v>13</v>
      </c>
      <c r="L81" s="7" t="s">
        <v>147</v>
      </c>
      <c r="M81" t="s">
        <v>148</v>
      </c>
      <c r="N81" s="9">
        <v>1262.4000000000001</v>
      </c>
      <c r="O81" t="s">
        <v>16</v>
      </c>
      <c r="P81" t="s">
        <v>18</v>
      </c>
    </row>
    <row r="82" spans="2:16" x14ac:dyDescent="0.25">
      <c r="B82" s="3" t="s">
        <v>58</v>
      </c>
      <c r="C82" s="19">
        <v>45444</v>
      </c>
      <c r="D82" s="19">
        <v>45454</v>
      </c>
      <c r="E82" s="5" t="str">
        <f>_xlfn.XLOOKUP('Prices Database'!B82,'Customers Masterdata'!F:F,'Customers Masterdata'!G:G)</f>
        <v>Cust A</v>
      </c>
      <c r="F82" s="3" t="s">
        <v>30</v>
      </c>
      <c r="G82" s="5" t="s">
        <v>163</v>
      </c>
      <c r="H82" s="5" t="s">
        <v>174</v>
      </c>
      <c r="I82" s="23">
        <v>0.2</v>
      </c>
      <c r="J82" s="5" t="str">
        <f t="shared" si="2"/>
        <v>XXXXX14544445454V2</v>
      </c>
      <c r="K82" t="s">
        <v>14</v>
      </c>
      <c r="L82" s="7" t="s">
        <v>149</v>
      </c>
      <c r="M82" t="s">
        <v>150</v>
      </c>
      <c r="N82" s="9">
        <v>287.2</v>
      </c>
      <c r="O82" t="s">
        <v>16</v>
      </c>
      <c r="P82" t="s">
        <v>18</v>
      </c>
    </row>
    <row r="83" spans="2:16" x14ac:dyDescent="0.25">
      <c r="B83" s="3" t="s">
        <v>58</v>
      </c>
      <c r="C83" s="19">
        <v>45444</v>
      </c>
      <c r="D83" s="19">
        <v>45454</v>
      </c>
      <c r="E83" s="5" t="str">
        <f>_xlfn.XLOOKUP('Prices Database'!B83,'Customers Masterdata'!F:F,'Customers Masterdata'!G:G)</f>
        <v>Cust A</v>
      </c>
      <c r="F83" s="3" t="s">
        <v>30</v>
      </c>
      <c r="G83" s="5" t="s">
        <v>163</v>
      </c>
      <c r="H83" s="5" t="s">
        <v>174</v>
      </c>
      <c r="I83" s="23">
        <v>0.2</v>
      </c>
      <c r="J83" s="5" t="str">
        <f t="shared" si="2"/>
        <v>XXXXX14544445454V2</v>
      </c>
      <c r="K83" t="s">
        <v>14</v>
      </c>
      <c r="L83" s="7" t="s">
        <v>151</v>
      </c>
      <c r="M83" t="s">
        <v>152</v>
      </c>
      <c r="N83" s="9">
        <v>940.8</v>
      </c>
      <c r="O83" t="s">
        <v>16</v>
      </c>
      <c r="P83" t="s">
        <v>18</v>
      </c>
    </row>
    <row r="84" spans="2:16" x14ac:dyDescent="0.25">
      <c r="B84" s="3" t="s">
        <v>58</v>
      </c>
      <c r="C84" s="19">
        <v>45444</v>
      </c>
      <c r="D84" s="19">
        <v>45454</v>
      </c>
      <c r="E84" s="5" t="str">
        <f>_xlfn.XLOOKUP('Prices Database'!B84,'Customers Masterdata'!F:F,'Customers Masterdata'!G:G)</f>
        <v>Cust A</v>
      </c>
      <c r="F84" s="3" t="s">
        <v>30</v>
      </c>
      <c r="G84" s="5" t="s">
        <v>163</v>
      </c>
      <c r="H84" s="5" t="s">
        <v>174</v>
      </c>
      <c r="I84" s="23">
        <v>0.2</v>
      </c>
      <c r="J84" s="5" t="str">
        <f t="shared" si="2"/>
        <v>XXXXX14544445454V2</v>
      </c>
      <c r="K84" t="s">
        <v>14</v>
      </c>
      <c r="L84" s="7" t="s">
        <v>153</v>
      </c>
      <c r="M84" t="s">
        <v>154</v>
      </c>
      <c r="N84" s="9">
        <v>444.8</v>
      </c>
      <c r="O84" t="s">
        <v>16</v>
      </c>
      <c r="P84" t="s">
        <v>18</v>
      </c>
    </row>
    <row r="85" spans="2:16" x14ac:dyDescent="0.25">
      <c r="B85" s="3" t="s">
        <v>58</v>
      </c>
      <c r="C85" s="19">
        <v>45444</v>
      </c>
      <c r="D85" s="19">
        <v>45454</v>
      </c>
      <c r="E85" s="5" t="str">
        <f>_xlfn.XLOOKUP('Prices Database'!B85,'Customers Masterdata'!F:F,'Customers Masterdata'!G:G)</f>
        <v>Cust A</v>
      </c>
      <c r="F85" s="3" t="s">
        <v>30</v>
      </c>
      <c r="G85" s="5" t="s">
        <v>163</v>
      </c>
      <c r="H85" s="5" t="s">
        <v>174</v>
      </c>
      <c r="I85" s="23">
        <v>0</v>
      </c>
      <c r="J85" s="5" t="str">
        <f t="shared" si="2"/>
        <v>XXXXX14544445454V2</v>
      </c>
      <c r="K85" t="s">
        <v>14</v>
      </c>
      <c r="L85" s="7" t="s">
        <v>155</v>
      </c>
      <c r="M85" t="s">
        <v>156</v>
      </c>
      <c r="N85" s="9">
        <v>1298</v>
      </c>
      <c r="O85" t="s">
        <v>16</v>
      </c>
      <c r="P85" t="s">
        <v>18</v>
      </c>
    </row>
    <row r="86" spans="2:16" x14ac:dyDescent="0.25">
      <c r="B86" s="3" t="s">
        <v>58</v>
      </c>
      <c r="C86" s="19">
        <v>45444</v>
      </c>
      <c r="D86" s="19">
        <v>45454</v>
      </c>
      <c r="E86" s="5" t="str">
        <f>_xlfn.XLOOKUP('Prices Database'!B86,'Customers Masterdata'!F:F,'Customers Masterdata'!G:G)</f>
        <v>Cust A</v>
      </c>
      <c r="F86" s="3" t="s">
        <v>30</v>
      </c>
      <c r="G86" s="5" t="s">
        <v>48</v>
      </c>
      <c r="H86" s="5" t="s">
        <v>176</v>
      </c>
      <c r="I86" s="5" t="s">
        <v>176</v>
      </c>
      <c r="J86" s="5" t="str">
        <f t="shared" si="2"/>
        <v>XXXXX14544445454V2</v>
      </c>
      <c r="K86" t="s">
        <v>14</v>
      </c>
      <c r="L86" s="7" t="s">
        <v>157</v>
      </c>
      <c r="M86" t="s">
        <v>158</v>
      </c>
      <c r="N86" s="9">
        <v>500</v>
      </c>
      <c r="O86" t="s">
        <v>16</v>
      </c>
      <c r="P86" t="s">
        <v>18</v>
      </c>
    </row>
    <row r="87" spans="2:16" x14ac:dyDescent="0.25">
      <c r="B87" s="3" t="s">
        <v>58</v>
      </c>
      <c r="C87" s="19">
        <v>45444</v>
      </c>
      <c r="D87" s="19">
        <v>45454</v>
      </c>
      <c r="E87" s="5" t="str">
        <f>_xlfn.XLOOKUP('Prices Database'!B87,'Customers Masterdata'!F:F,'Customers Masterdata'!G:G)</f>
        <v>Cust A</v>
      </c>
      <c r="F87" s="3" t="s">
        <v>30</v>
      </c>
      <c r="G87" s="5" t="s">
        <v>48</v>
      </c>
      <c r="H87" s="5" t="s">
        <v>176</v>
      </c>
      <c r="I87" s="5" t="s">
        <v>176</v>
      </c>
      <c r="J87" s="5" t="str">
        <f t="shared" si="2"/>
        <v>XXXXX14544445454V2</v>
      </c>
      <c r="K87" t="s">
        <v>14</v>
      </c>
      <c r="L87" s="7" t="s">
        <v>159</v>
      </c>
      <c r="M87" t="s">
        <v>160</v>
      </c>
      <c r="N87" s="9">
        <v>500</v>
      </c>
      <c r="O87" t="s">
        <v>16</v>
      </c>
      <c r="P87" t="s">
        <v>18</v>
      </c>
    </row>
    <row r="88" spans="2:16" x14ac:dyDescent="0.25">
      <c r="B88" s="3" t="s">
        <v>58</v>
      </c>
      <c r="C88" s="19">
        <v>45444</v>
      </c>
      <c r="D88" s="19">
        <v>45454</v>
      </c>
      <c r="E88" s="5" t="str">
        <f>_xlfn.XLOOKUP('Prices Database'!B88,'Customers Masterdata'!F:F,'Customers Masterdata'!G:G)</f>
        <v>Cust A</v>
      </c>
      <c r="F88" s="3" t="s">
        <v>30</v>
      </c>
      <c r="G88" s="5" t="s">
        <v>48</v>
      </c>
      <c r="H88" s="5" t="s">
        <v>176</v>
      </c>
      <c r="I88" s="5" t="s">
        <v>176</v>
      </c>
      <c r="J88" s="5" t="str">
        <f t="shared" si="2"/>
        <v>XXXXX14544445454V2</v>
      </c>
      <c r="K88" t="s">
        <v>14</v>
      </c>
      <c r="L88" s="7" t="s">
        <v>161</v>
      </c>
      <c r="M88" t="s">
        <v>162</v>
      </c>
      <c r="N88" s="9">
        <v>500</v>
      </c>
      <c r="O88" t="s">
        <v>16</v>
      </c>
      <c r="P88" t="s">
        <v>18</v>
      </c>
    </row>
    <row r="89" spans="2:16" x14ac:dyDescent="0.25">
      <c r="B89" s="3" t="s">
        <v>59</v>
      </c>
      <c r="C89" s="19">
        <v>45658</v>
      </c>
      <c r="D89" s="19">
        <v>45658</v>
      </c>
      <c r="E89" s="5" t="str">
        <f>_xlfn.XLOOKUP('Prices Database'!B89,'Customers Masterdata'!F:F,'Customers Masterdata'!G:G)</f>
        <v>Cust B</v>
      </c>
      <c r="F89" s="3" t="s">
        <v>44</v>
      </c>
      <c r="G89" s="5" t="s">
        <v>48</v>
      </c>
      <c r="H89" s="5" t="s">
        <v>174</v>
      </c>
      <c r="I89" s="5" t="s">
        <v>176</v>
      </c>
      <c r="J89" s="5" t="str">
        <f t="shared" si="2"/>
        <v>XXXXX24565845658V1</v>
      </c>
      <c r="K89" t="s">
        <v>11</v>
      </c>
      <c r="L89" s="7" t="s">
        <v>78</v>
      </c>
      <c r="M89" t="s">
        <v>79</v>
      </c>
      <c r="N89" s="9">
        <v>46.1</v>
      </c>
      <c r="O89" t="s">
        <v>32</v>
      </c>
      <c r="P89" t="s">
        <v>17</v>
      </c>
    </row>
    <row r="90" spans="2:16" x14ac:dyDescent="0.25">
      <c r="B90" s="3" t="s">
        <v>59</v>
      </c>
      <c r="C90" s="19">
        <v>45658</v>
      </c>
      <c r="D90" s="19">
        <v>45658</v>
      </c>
      <c r="E90" s="5" t="str">
        <f>_xlfn.XLOOKUP('Prices Database'!B90,'Customers Masterdata'!F:F,'Customers Masterdata'!G:G)</f>
        <v>Cust B</v>
      </c>
      <c r="F90" s="3" t="s">
        <v>44</v>
      </c>
      <c r="G90" s="5" t="s">
        <v>48</v>
      </c>
      <c r="H90" s="5" t="s">
        <v>174</v>
      </c>
      <c r="I90" s="5" t="s">
        <v>176</v>
      </c>
      <c r="J90" s="5" t="str">
        <f t="shared" si="2"/>
        <v>XXXXX24565845658V1</v>
      </c>
      <c r="K90" t="s">
        <v>11</v>
      </c>
      <c r="L90" s="7" t="s">
        <v>80</v>
      </c>
      <c r="M90" t="s">
        <v>81</v>
      </c>
      <c r="N90" s="9">
        <v>34.1</v>
      </c>
      <c r="O90" t="s">
        <v>32</v>
      </c>
      <c r="P90" t="s">
        <v>17</v>
      </c>
    </row>
    <row r="91" spans="2:16" x14ac:dyDescent="0.25">
      <c r="B91" s="3" t="s">
        <v>59</v>
      </c>
      <c r="C91" s="19">
        <v>45658</v>
      </c>
      <c r="D91" s="19">
        <v>45658</v>
      </c>
      <c r="E91" s="5" t="str">
        <f>_xlfn.XLOOKUP('Prices Database'!B91,'Customers Masterdata'!F:F,'Customers Masterdata'!G:G)</f>
        <v>Cust B</v>
      </c>
      <c r="F91" s="3" t="s">
        <v>44</v>
      </c>
      <c r="G91" s="5" t="s">
        <v>48</v>
      </c>
      <c r="H91" s="5" t="s">
        <v>174</v>
      </c>
      <c r="I91" s="5" t="s">
        <v>176</v>
      </c>
      <c r="J91" s="5" t="str">
        <f t="shared" si="2"/>
        <v>XXXXX24565845658V1</v>
      </c>
      <c r="K91" t="s">
        <v>11</v>
      </c>
      <c r="L91" s="7" t="s">
        <v>15</v>
      </c>
      <c r="M91" t="s">
        <v>82</v>
      </c>
      <c r="N91" s="9">
        <v>168.1</v>
      </c>
      <c r="O91" t="s">
        <v>32</v>
      </c>
      <c r="P91" t="s">
        <v>17</v>
      </c>
    </row>
    <row r="92" spans="2:16" x14ac:dyDescent="0.25">
      <c r="B92" s="3" t="s">
        <v>59</v>
      </c>
      <c r="C92" s="19">
        <v>45658</v>
      </c>
      <c r="D92" s="19">
        <v>45658</v>
      </c>
      <c r="E92" s="5" t="str">
        <f>_xlfn.XLOOKUP('Prices Database'!B92,'Customers Masterdata'!F:F,'Customers Masterdata'!G:G)</f>
        <v>Cust B</v>
      </c>
      <c r="F92" s="3" t="s">
        <v>44</v>
      </c>
      <c r="G92" s="5" t="s">
        <v>48</v>
      </c>
      <c r="H92" s="5" t="s">
        <v>174</v>
      </c>
      <c r="I92" s="5" t="s">
        <v>176</v>
      </c>
      <c r="J92" s="5" t="str">
        <f t="shared" si="2"/>
        <v>XXXXX24565845658V1</v>
      </c>
      <c r="K92" t="s">
        <v>11</v>
      </c>
      <c r="L92" s="7" t="s">
        <v>83</v>
      </c>
      <c r="M92" t="s">
        <v>84</v>
      </c>
      <c r="N92" s="9">
        <v>94</v>
      </c>
      <c r="O92" t="s">
        <v>32</v>
      </c>
      <c r="P92" t="s">
        <v>17</v>
      </c>
    </row>
    <row r="93" spans="2:16" x14ac:dyDescent="0.25">
      <c r="B93" s="3" t="s">
        <v>59</v>
      </c>
      <c r="C93" s="19">
        <v>45658</v>
      </c>
      <c r="D93" s="19">
        <v>45658</v>
      </c>
      <c r="E93" s="5" t="str">
        <f>_xlfn.XLOOKUP('Prices Database'!B93,'Customers Masterdata'!F:F,'Customers Masterdata'!G:G)</f>
        <v>Cust B</v>
      </c>
      <c r="F93" s="3" t="s">
        <v>44</v>
      </c>
      <c r="G93" s="5" t="s">
        <v>48</v>
      </c>
      <c r="H93" s="5" t="s">
        <v>174</v>
      </c>
      <c r="I93" s="5" t="s">
        <v>176</v>
      </c>
      <c r="J93" s="5" t="str">
        <f t="shared" si="2"/>
        <v>XXXXX24565845658V1</v>
      </c>
      <c r="K93" t="s">
        <v>11</v>
      </c>
      <c r="L93" s="7" t="s">
        <v>85</v>
      </c>
      <c r="M93" t="s">
        <v>86</v>
      </c>
      <c r="N93" s="9">
        <v>99.7</v>
      </c>
      <c r="O93" t="s">
        <v>32</v>
      </c>
      <c r="P93" t="s">
        <v>17</v>
      </c>
    </row>
    <row r="94" spans="2:16" x14ac:dyDescent="0.25">
      <c r="B94" s="3" t="s">
        <v>59</v>
      </c>
      <c r="C94" s="19">
        <v>45658</v>
      </c>
      <c r="D94" s="19">
        <v>45658</v>
      </c>
      <c r="E94" s="5" t="str">
        <f>_xlfn.XLOOKUP('Prices Database'!B94,'Customers Masterdata'!F:F,'Customers Masterdata'!G:G)</f>
        <v>Cust B</v>
      </c>
      <c r="F94" s="3" t="s">
        <v>44</v>
      </c>
      <c r="G94" s="5" t="s">
        <v>48</v>
      </c>
      <c r="H94" s="5" t="s">
        <v>174</v>
      </c>
      <c r="I94" s="5" t="s">
        <v>176</v>
      </c>
      <c r="J94" s="5" t="str">
        <f t="shared" si="2"/>
        <v>XXXXX24565845658V1</v>
      </c>
      <c r="K94" t="s">
        <v>11</v>
      </c>
      <c r="L94" s="7" t="s">
        <v>87</v>
      </c>
      <c r="M94" t="s">
        <v>88</v>
      </c>
      <c r="N94" s="9">
        <v>28.9</v>
      </c>
      <c r="O94" t="s">
        <v>32</v>
      </c>
      <c r="P94" t="s">
        <v>17</v>
      </c>
    </row>
    <row r="95" spans="2:16" x14ac:dyDescent="0.25">
      <c r="B95" s="3" t="s">
        <v>59</v>
      </c>
      <c r="C95" s="19">
        <v>45658</v>
      </c>
      <c r="D95" s="19">
        <v>45658</v>
      </c>
      <c r="E95" s="5" t="str">
        <f>_xlfn.XLOOKUP('Prices Database'!B95,'Customers Masterdata'!F:F,'Customers Masterdata'!G:G)</f>
        <v>Cust B</v>
      </c>
      <c r="F95" s="3" t="s">
        <v>44</v>
      </c>
      <c r="G95" s="5" t="s">
        <v>48</v>
      </c>
      <c r="H95" s="5" t="s">
        <v>174</v>
      </c>
      <c r="I95" s="5" t="s">
        <v>176</v>
      </c>
      <c r="J95" s="5" t="str">
        <f t="shared" si="2"/>
        <v>XXXXX24565845658V1</v>
      </c>
      <c r="K95" t="s">
        <v>11</v>
      </c>
      <c r="L95" s="7" t="s">
        <v>89</v>
      </c>
      <c r="M95" t="s">
        <v>90</v>
      </c>
      <c r="N95" s="9">
        <v>68.099999999999994</v>
      </c>
      <c r="O95" t="s">
        <v>32</v>
      </c>
      <c r="P95" t="s">
        <v>17</v>
      </c>
    </row>
    <row r="96" spans="2:16" x14ac:dyDescent="0.25">
      <c r="B96" s="3" t="s">
        <v>59</v>
      </c>
      <c r="C96" s="19">
        <v>45658</v>
      </c>
      <c r="D96" s="19">
        <v>45658</v>
      </c>
      <c r="E96" s="5" t="str">
        <f>_xlfn.XLOOKUP('Prices Database'!B96,'Customers Masterdata'!F:F,'Customers Masterdata'!G:G)</f>
        <v>Cust B</v>
      </c>
      <c r="F96" s="3" t="s">
        <v>44</v>
      </c>
      <c r="G96" s="5" t="s">
        <v>48</v>
      </c>
      <c r="H96" s="5" t="s">
        <v>174</v>
      </c>
      <c r="I96" s="5" t="s">
        <v>176</v>
      </c>
      <c r="J96" s="5" t="str">
        <f t="shared" si="2"/>
        <v>XXXXX24565845658V1</v>
      </c>
      <c r="K96" t="s">
        <v>11</v>
      </c>
      <c r="L96" s="7" t="s">
        <v>91</v>
      </c>
      <c r="M96" t="s">
        <v>92</v>
      </c>
      <c r="N96" s="9">
        <v>103.1</v>
      </c>
      <c r="O96" t="s">
        <v>32</v>
      </c>
      <c r="P96" t="s">
        <v>17</v>
      </c>
    </row>
    <row r="97" spans="2:17" x14ac:dyDescent="0.25">
      <c r="B97" s="3" t="s">
        <v>59</v>
      </c>
      <c r="C97" s="19">
        <v>45658</v>
      </c>
      <c r="D97" s="19">
        <v>45658</v>
      </c>
      <c r="E97" s="5" t="str">
        <f>_xlfn.XLOOKUP('Prices Database'!B97,'Customers Masterdata'!F:F,'Customers Masterdata'!G:G)</f>
        <v>Cust B</v>
      </c>
      <c r="F97" s="3" t="s">
        <v>44</v>
      </c>
      <c r="G97" s="5" t="s">
        <v>48</v>
      </c>
      <c r="H97" s="5" t="s">
        <v>174</v>
      </c>
      <c r="I97" s="5" t="s">
        <v>176</v>
      </c>
      <c r="J97" s="5" t="str">
        <f t="shared" si="2"/>
        <v>XXXXX24565845658V1</v>
      </c>
      <c r="K97" t="s">
        <v>11</v>
      </c>
      <c r="L97" s="7" t="s">
        <v>93</v>
      </c>
      <c r="M97" t="s">
        <v>94</v>
      </c>
      <c r="N97" s="9">
        <v>81.5</v>
      </c>
      <c r="O97" t="s">
        <v>32</v>
      </c>
      <c r="P97" t="s">
        <v>17</v>
      </c>
    </row>
    <row r="98" spans="2:17" x14ac:dyDescent="0.25">
      <c r="B98" s="3" t="s">
        <v>59</v>
      </c>
      <c r="C98" s="19">
        <v>45658</v>
      </c>
      <c r="D98" s="19">
        <v>45658</v>
      </c>
      <c r="E98" s="5" t="str">
        <f>_xlfn.XLOOKUP('Prices Database'!B98,'Customers Masterdata'!F:F,'Customers Masterdata'!G:G)</f>
        <v>Cust B</v>
      </c>
      <c r="F98" s="3" t="s">
        <v>44</v>
      </c>
      <c r="G98" s="5" t="s">
        <v>48</v>
      </c>
      <c r="H98" s="5" t="s">
        <v>174</v>
      </c>
      <c r="I98" s="5" t="s">
        <v>176</v>
      </c>
      <c r="J98" s="5" t="str">
        <f t="shared" si="2"/>
        <v>XXXXX24565845658V1</v>
      </c>
      <c r="K98" t="s">
        <v>11</v>
      </c>
      <c r="L98" s="7" t="s">
        <v>95</v>
      </c>
      <c r="M98" t="s">
        <v>96</v>
      </c>
      <c r="N98" s="9">
        <v>25.4</v>
      </c>
      <c r="O98" t="s">
        <v>32</v>
      </c>
      <c r="P98" t="s">
        <v>17</v>
      </c>
    </row>
    <row r="99" spans="2:17" x14ac:dyDescent="0.25">
      <c r="B99" s="3" t="s">
        <v>59</v>
      </c>
      <c r="C99" s="19">
        <v>45658</v>
      </c>
      <c r="D99" s="19">
        <v>45658</v>
      </c>
      <c r="E99" s="5" t="str">
        <f>_xlfn.XLOOKUP('Prices Database'!B99,'Customers Masterdata'!F:F,'Customers Masterdata'!G:G)</f>
        <v>Cust B</v>
      </c>
      <c r="F99" s="3" t="s">
        <v>44</v>
      </c>
      <c r="G99" s="5" t="s">
        <v>48</v>
      </c>
      <c r="H99" s="5" t="s">
        <v>174</v>
      </c>
      <c r="I99" s="5" t="s">
        <v>176</v>
      </c>
      <c r="J99" s="5" t="str">
        <f t="shared" si="2"/>
        <v>XXXXX24565845658V1</v>
      </c>
      <c r="K99" t="s">
        <v>11</v>
      </c>
      <c r="L99" s="7" t="s">
        <v>97</v>
      </c>
      <c r="M99" t="s">
        <v>98</v>
      </c>
      <c r="N99" s="9">
        <v>134.9</v>
      </c>
      <c r="O99" t="s">
        <v>32</v>
      </c>
      <c r="P99" t="s">
        <v>17</v>
      </c>
    </row>
    <row r="100" spans="2:17" x14ac:dyDescent="0.25">
      <c r="B100" s="3" t="s">
        <v>181</v>
      </c>
      <c r="C100" s="19">
        <v>45658</v>
      </c>
      <c r="D100" s="19">
        <v>45658</v>
      </c>
      <c r="E100" s="5" t="str">
        <f>_xlfn.XLOOKUP('Prices Database'!B100,'Customers Masterdata'!F:F,'Customers Masterdata'!G:G)</f>
        <v>Cust GBP</v>
      </c>
      <c r="F100" s="3" t="s">
        <v>44</v>
      </c>
      <c r="G100" s="5" t="s">
        <v>48</v>
      </c>
      <c r="H100" s="5" t="s">
        <v>174</v>
      </c>
      <c r="I100" s="5" t="s">
        <v>176</v>
      </c>
      <c r="J100" s="5" t="str">
        <f t="shared" ref="J100" si="3">B100&amp;C100&amp;D100&amp;F100</f>
        <v>XXXXX34565845658V1</v>
      </c>
      <c r="K100" t="s">
        <v>11</v>
      </c>
      <c r="L100" s="7" t="s">
        <v>97</v>
      </c>
      <c r="M100" t="s">
        <v>98</v>
      </c>
      <c r="N100" s="9">
        <v>100</v>
      </c>
      <c r="O100" t="s">
        <v>183</v>
      </c>
      <c r="P100" t="s">
        <v>17</v>
      </c>
    </row>
    <row r="101" spans="2:17" x14ac:dyDescent="0.25">
      <c r="C101" s="4"/>
      <c r="D101" s="4"/>
      <c r="N101" s="6"/>
      <c r="Q101" s="6"/>
    </row>
    <row r="102" spans="2:17" x14ac:dyDescent="0.25">
      <c r="C102" s="4"/>
      <c r="D102" s="4"/>
      <c r="N102" s="6"/>
    </row>
    <row r="103" spans="2:17" x14ac:dyDescent="0.25">
      <c r="C103" s="4"/>
      <c r="D103" s="4"/>
      <c r="N103" s="6"/>
    </row>
    <row r="104" spans="2:17" x14ac:dyDescent="0.25">
      <c r="C104" s="4"/>
      <c r="D104" s="4"/>
      <c r="N104" s="6"/>
    </row>
    <row r="105" spans="2:17" x14ac:dyDescent="0.25">
      <c r="C105" s="4"/>
      <c r="D105" s="4"/>
      <c r="N105" s="6"/>
    </row>
    <row r="106" spans="2:17" x14ac:dyDescent="0.25">
      <c r="C106" s="4"/>
      <c r="D106" s="4"/>
      <c r="N106" s="6"/>
    </row>
    <row r="107" spans="2:17" x14ac:dyDescent="0.25">
      <c r="C107" s="4"/>
      <c r="D107" s="4"/>
      <c r="N107" s="6"/>
    </row>
    <row r="108" spans="2:17" x14ac:dyDescent="0.25">
      <c r="C108" s="4"/>
      <c r="D108" s="4"/>
      <c r="N108" s="6"/>
    </row>
    <row r="109" spans="2:17" x14ac:dyDescent="0.25">
      <c r="C109" s="4"/>
      <c r="D109" s="4"/>
      <c r="N109" s="6"/>
    </row>
    <row r="110" spans="2:17" x14ac:dyDescent="0.25">
      <c r="C110" s="4"/>
      <c r="D110" s="4"/>
      <c r="N110" s="6"/>
    </row>
    <row r="111" spans="2:17" x14ac:dyDescent="0.25">
      <c r="C111" s="4"/>
      <c r="D111" s="4"/>
      <c r="N111" s="6"/>
    </row>
    <row r="112" spans="2:17" x14ac:dyDescent="0.25">
      <c r="C112" s="4"/>
      <c r="D112" s="4"/>
      <c r="N112" s="6"/>
    </row>
    <row r="113" spans="3:14" x14ac:dyDescent="0.25">
      <c r="C113" s="4"/>
      <c r="D113" s="4"/>
      <c r="N113" s="6"/>
    </row>
    <row r="114" spans="3:14" x14ac:dyDescent="0.25">
      <c r="C114" s="4"/>
      <c r="D114" s="4"/>
      <c r="N114" s="6"/>
    </row>
    <row r="115" spans="3:14" x14ac:dyDescent="0.25">
      <c r="C115" s="4"/>
      <c r="D115" s="4"/>
      <c r="N115" s="6"/>
    </row>
    <row r="116" spans="3:14" x14ac:dyDescent="0.25">
      <c r="C116" s="4"/>
      <c r="D116" s="4"/>
      <c r="N116" s="6"/>
    </row>
    <row r="117" spans="3:14" x14ac:dyDescent="0.25">
      <c r="C117" s="4"/>
      <c r="D117" s="4"/>
      <c r="N117" s="6"/>
    </row>
    <row r="118" spans="3:14" x14ac:dyDescent="0.25">
      <c r="C118" s="4"/>
      <c r="D118" s="4"/>
      <c r="N118" s="6"/>
    </row>
    <row r="119" spans="3:14" x14ac:dyDescent="0.25">
      <c r="C119" s="4"/>
      <c r="D119" s="4"/>
      <c r="N119" s="6"/>
    </row>
    <row r="120" spans="3:14" x14ac:dyDescent="0.25">
      <c r="C120" s="4"/>
      <c r="D120" s="4"/>
      <c r="N120" s="6"/>
    </row>
    <row r="121" spans="3:14" x14ac:dyDescent="0.25">
      <c r="C121" s="4"/>
      <c r="D121" s="4"/>
      <c r="N121" s="6"/>
    </row>
    <row r="122" spans="3:14" x14ac:dyDescent="0.25">
      <c r="C122" s="4"/>
      <c r="D122" s="4"/>
      <c r="N122" s="6"/>
    </row>
    <row r="123" spans="3:14" x14ac:dyDescent="0.25">
      <c r="C123" s="4"/>
      <c r="D123" s="4"/>
      <c r="N123" s="6"/>
    </row>
    <row r="124" spans="3:14" x14ac:dyDescent="0.25">
      <c r="C124" s="4"/>
      <c r="D124" s="4"/>
      <c r="N124" s="6"/>
    </row>
    <row r="125" spans="3:14" x14ac:dyDescent="0.25">
      <c r="C125" s="4"/>
      <c r="D125" s="4"/>
      <c r="N125" s="6"/>
    </row>
    <row r="126" spans="3:14" x14ac:dyDescent="0.25">
      <c r="C126" s="4"/>
      <c r="D126" s="4"/>
      <c r="N126" s="6"/>
    </row>
    <row r="127" spans="3:14" x14ac:dyDescent="0.25">
      <c r="C127" s="4"/>
      <c r="D127" s="4"/>
      <c r="N127" s="6"/>
    </row>
    <row r="128" spans="3:14" x14ac:dyDescent="0.25">
      <c r="C128" s="4"/>
      <c r="D128" s="4"/>
      <c r="N128" s="6"/>
    </row>
    <row r="129" spans="3:14" x14ac:dyDescent="0.25">
      <c r="C129" s="4"/>
      <c r="D129" s="4"/>
      <c r="N129" s="6"/>
    </row>
    <row r="130" spans="3:14" x14ac:dyDescent="0.25">
      <c r="C130" s="4"/>
      <c r="D130" s="4"/>
      <c r="N130" s="6"/>
    </row>
    <row r="131" spans="3:14" x14ac:dyDescent="0.25">
      <c r="C131" s="4"/>
      <c r="D131" s="4"/>
      <c r="N131" s="6"/>
    </row>
    <row r="132" spans="3:14" x14ac:dyDescent="0.25">
      <c r="C132" s="4"/>
      <c r="D132" s="4"/>
      <c r="N132" s="6"/>
    </row>
    <row r="133" spans="3:14" x14ac:dyDescent="0.25">
      <c r="C133" s="4"/>
      <c r="D133" s="4"/>
      <c r="N133" s="6"/>
    </row>
    <row r="134" spans="3:14" x14ac:dyDescent="0.25">
      <c r="C134" s="4"/>
      <c r="D134" s="4"/>
      <c r="N134" s="6"/>
    </row>
    <row r="135" spans="3:14" x14ac:dyDescent="0.25">
      <c r="C135" s="4"/>
      <c r="D135" s="4"/>
      <c r="N135" s="6"/>
    </row>
    <row r="136" spans="3:14" x14ac:dyDescent="0.25">
      <c r="C136" s="4"/>
      <c r="D136" s="4"/>
      <c r="N136" s="6"/>
    </row>
    <row r="137" spans="3:14" x14ac:dyDescent="0.25">
      <c r="C137" s="4"/>
      <c r="D137" s="4"/>
      <c r="N137" s="6"/>
    </row>
    <row r="138" spans="3:14" x14ac:dyDescent="0.25">
      <c r="C138" s="4"/>
      <c r="D138" s="4"/>
      <c r="N138" s="6"/>
    </row>
    <row r="139" spans="3:14" x14ac:dyDescent="0.25">
      <c r="C139" s="4"/>
      <c r="D139" s="4"/>
      <c r="N139" s="6"/>
    </row>
    <row r="140" spans="3:14" x14ac:dyDescent="0.25">
      <c r="C140" s="4"/>
      <c r="D140" s="4"/>
      <c r="N140" s="6"/>
    </row>
    <row r="141" spans="3:14" x14ac:dyDescent="0.25">
      <c r="C141" s="4"/>
      <c r="D141" s="4"/>
      <c r="N141" s="6"/>
    </row>
    <row r="142" spans="3:14" x14ac:dyDescent="0.25">
      <c r="C142" s="4"/>
      <c r="D142" s="4"/>
      <c r="N142" s="6"/>
    </row>
    <row r="143" spans="3:14" x14ac:dyDescent="0.25">
      <c r="C143" s="4"/>
      <c r="D143" s="4"/>
      <c r="N143" s="6"/>
    </row>
    <row r="144" spans="3:14" x14ac:dyDescent="0.25">
      <c r="C144" s="4"/>
      <c r="D144" s="4"/>
      <c r="N144" s="6"/>
    </row>
    <row r="145" spans="3:14" x14ac:dyDescent="0.25">
      <c r="C145" s="4"/>
      <c r="D145" s="4"/>
      <c r="N145" s="6"/>
    </row>
    <row r="146" spans="3:14" x14ac:dyDescent="0.25">
      <c r="C146" s="4"/>
      <c r="D146" s="4"/>
      <c r="N146" s="6"/>
    </row>
    <row r="147" spans="3:14" x14ac:dyDescent="0.25">
      <c r="C147" s="4"/>
      <c r="D147" s="4"/>
      <c r="N147" s="6"/>
    </row>
    <row r="148" spans="3:14" x14ac:dyDescent="0.25">
      <c r="C148" s="4"/>
      <c r="D148" s="4"/>
      <c r="N148" s="6"/>
    </row>
    <row r="149" spans="3:14" x14ac:dyDescent="0.25">
      <c r="C149" s="4"/>
      <c r="D149" s="4"/>
      <c r="N149" s="6"/>
    </row>
    <row r="150" spans="3:14" x14ac:dyDescent="0.25">
      <c r="C150" s="4"/>
      <c r="D150" s="4"/>
      <c r="N150" s="6"/>
    </row>
    <row r="151" spans="3:14" x14ac:dyDescent="0.25">
      <c r="C151" s="4"/>
      <c r="D151" s="4"/>
      <c r="N151" s="6"/>
    </row>
    <row r="152" spans="3:14" x14ac:dyDescent="0.25">
      <c r="C152" s="4"/>
      <c r="D152" s="4"/>
      <c r="N152" s="6"/>
    </row>
    <row r="153" spans="3:14" x14ac:dyDescent="0.25">
      <c r="C153" s="4"/>
      <c r="D153" s="4"/>
      <c r="N153" s="6"/>
    </row>
    <row r="154" spans="3:14" x14ac:dyDescent="0.25">
      <c r="C154" s="4"/>
      <c r="D154" s="4"/>
      <c r="N154" s="6"/>
    </row>
    <row r="155" spans="3:14" x14ac:dyDescent="0.25">
      <c r="C155" s="4"/>
      <c r="D155" s="4"/>
      <c r="N155" s="6"/>
    </row>
    <row r="156" spans="3:14" x14ac:dyDescent="0.25">
      <c r="C156" s="4"/>
      <c r="D156" s="4"/>
      <c r="N156" s="6"/>
    </row>
    <row r="157" spans="3:14" x14ac:dyDescent="0.25">
      <c r="C157" s="4"/>
      <c r="D157" s="4"/>
      <c r="N157" s="6"/>
    </row>
    <row r="158" spans="3:14" x14ac:dyDescent="0.25">
      <c r="C158" s="4"/>
      <c r="D158" s="4"/>
      <c r="N158" s="6"/>
    </row>
    <row r="159" spans="3:14" x14ac:dyDescent="0.25">
      <c r="C159" s="4"/>
      <c r="D159" s="4"/>
      <c r="N159" s="6"/>
    </row>
    <row r="160" spans="3:14" x14ac:dyDescent="0.25">
      <c r="C160" s="4"/>
      <c r="D160" s="4"/>
      <c r="N160" s="6"/>
    </row>
    <row r="161" spans="3:14" x14ac:dyDescent="0.25">
      <c r="C161" s="4"/>
      <c r="D161" s="4"/>
      <c r="N161" s="6"/>
    </row>
    <row r="162" spans="3:14" x14ac:dyDescent="0.25">
      <c r="C162" s="4"/>
      <c r="D162" s="4"/>
      <c r="N162" s="6"/>
    </row>
    <row r="163" spans="3:14" x14ac:dyDescent="0.25">
      <c r="C163" s="4"/>
      <c r="D163" s="4"/>
      <c r="N163" s="6"/>
    </row>
    <row r="164" spans="3:14" x14ac:dyDescent="0.25">
      <c r="C164" s="4"/>
      <c r="D164" s="4"/>
      <c r="N164" s="6"/>
    </row>
    <row r="165" spans="3:14" x14ac:dyDescent="0.25">
      <c r="C165" s="4"/>
      <c r="D165" s="4"/>
      <c r="N165" s="6"/>
    </row>
    <row r="166" spans="3:14" x14ac:dyDescent="0.25">
      <c r="C166" s="4"/>
      <c r="D166" s="4"/>
      <c r="N166" s="6"/>
    </row>
    <row r="167" spans="3:14" x14ac:dyDescent="0.25">
      <c r="C167" s="4"/>
      <c r="D167" s="4"/>
      <c r="N167" s="6"/>
    </row>
    <row r="168" spans="3:14" x14ac:dyDescent="0.25">
      <c r="C168" s="4"/>
      <c r="D168" s="4"/>
      <c r="N168" s="6"/>
    </row>
    <row r="169" spans="3:14" x14ac:dyDescent="0.25">
      <c r="C169" s="4"/>
      <c r="D169" s="4"/>
      <c r="N169" s="6"/>
    </row>
    <row r="170" spans="3:14" x14ac:dyDescent="0.25">
      <c r="C170" s="4"/>
      <c r="D170" s="4"/>
      <c r="N170" s="6"/>
    </row>
    <row r="171" spans="3:14" x14ac:dyDescent="0.25">
      <c r="C171" s="4"/>
      <c r="D171" s="4"/>
      <c r="N171" s="6"/>
    </row>
    <row r="172" spans="3:14" x14ac:dyDescent="0.25">
      <c r="C172" s="4"/>
      <c r="D172" s="4"/>
      <c r="N172" s="6"/>
    </row>
    <row r="173" spans="3:14" x14ac:dyDescent="0.25">
      <c r="C173" s="4"/>
      <c r="D173" s="4"/>
      <c r="N173" s="6"/>
    </row>
    <row r="174" spans="3:14" x14ac:dyDescent="0.25">
      <c r="C174" s="4"/>
      <c r="D174" s="4"/>
      <c r="N174" s="6"/>
    </row>
    <row r="175" spans="3:14" x14ac:dyDescent="0.25">
      <c r="C175" s="4"/>
      <c r="D175" s="4"/>
      <c r="N175" s="6"/>
    </row>
    <row r="176" spans="3:14" x14ac:dyDescent="0.25">
      <c r="C176" s="4"/>
      <c r="D176" s="4"/>
      <c r="N176" s="6"/>
    </row>
    <row r="177" spans="3:14" x14ac:dyDescent="0.25">
      <c r="C177" s="4"/>
      <c r="D177" s="4"/>
      <c r="N177" s="6"/>
    </row>
    <row r="178" spans="3:14" x14ac:dyDescent="0.25">
      <c r="C178" s="4"/>
      <c r="D178" s="4"/>
      <c r="N178" s="6"/>
    </row>
    <row r="179" spans="3:14" x14ac:dyDescent="0.25">
      <c r="C179" s="4"/>
      <c r="D179" s="4"/>
      <c r="N179" s="6"/>
    </row>
    <row r="180" spans="3:14" x14ac:dyDescent="0.25">
      <c r="C180" s="4"/>
      <c r="D180" s="4"/>
      <c r="N180" s="6"/>
    </row>
    <row r="181" spans="3:14" x14ac:dyDescent="0.25">
      <c r="C181" s="4"/>
      <c r="D181" s="4"/>
      <c r="N181" s="6"/>
    </row>
    <row r="182" spans="3:14" x14ac:dyDescent="0.25">
      <c r="C182" s="4"/>
      <c r="D182" s="4"/>
      <c r="N182" s="6"/>
    </row>
    <row r="183" spans="3:14" x14ac:dyDescent="0.25">
      <c r="C183" s="4"/>
      <c r="D183" s="4"/>
      <c r="N183" s="6"/>
    </row>
    <row r="184" spans="3:14" x14ac:dyDescent="0.25">
      <c r="C184" s="4"/>
      <c r="D184" s="4"/>
      <c r="N184" s="6"/>
    </row>
    <row r="185" spans="3:14" x14ac:dyDescent="0.25">
      <c r="C185" s="4"/>
      <c r="D185" s="4"/>
      <c r="N185" s="6"/>
    </row>
    <row r="186" spans="3:14" x14ac:dyDescent="0.25">
      <c r="C186" s="4"/>
      <c r="D186" s="4"/>
      <c r="N186" s="6"/>
    </row>
    <row r="187" spans="3:14" x14ac:dyDescent="0.25">
      <c r="C187" s="4"/>
      <c r="D187" s="4"/>
      <c r="N187" s="6"/>
    </row>
    <row r="188" spans="3:14" x14ac:dyDescent="0.25">
      <c r="C188" s="4"/>
      <c r="D188" s="4"/>
      <c r="N188" s="6"/>
    </row>
    <row r="189" spans="3:14" x14ac:dyDescent="0.25">
      <c r="C189" s="4"/>
      <c r="D189" s="4"/>
      <c r="N189" s="6"/>
    </row>
    <row r="190" spans="3:14" x14ac:dyDescent="0.25">
      <c r="C190" s="4"/>
      <c r="D190" s="4"/>
      <c r="N190" s="6"/>
    </row>
    <row r="191" spans="3:14" x14ac:dyDescent="0.25">
      <c r="C191" s="4"/>
      <c r="D191" s="4"/>
      <c r="N191" s="6"/>
    </row>
    <row r="192" spans="3:14" x14ac:dyDescent="0.25">
      <c r="C192" s="4"/>
      <c r="D192" s="4"/>
      <c r="N192" s="6"/>
    </row>
    <row r="193" spans="3:14" x14ac:dyDescent="0.25">
      <c r="C193" s="4"/>
      <c r="D193" s="4"/>
      <c r="N193" s="6"/>
    </row>
    <row r="194" spans="3:14" x14ac:dyDescent="0.25">
      <c r="C194" s="4"/>
      <c r="D194" s="4"/>
      <c r="N194" s="6"/>
    </row>
    <row r="195" spans="3:14" x14ac:dyDescent="0.25">
      <c r="C195" s="4"/>
      <c r="D195" s="4"/>
      <c r="N195" s="6"/>
    </row>
    <row r="196" spans="3:14" x14ac:dyDescent="0.25">
      <c r="C196" s="4"/>
      <c r="D196" s="4"/>
      <c r="N196" s="6"/>
    </row>
    <row r="197" spans="3:14" x14ac:dyDescent="0.25">
      <c r="C197" s="4"/>
      <c r="D197" s="4"/>
      <c r="N197" s="6"/>
    </row>
    <row r="198" spans="3:14" x14ac:dyDescent="0.25">
      <c r="C198" s="4"/>
      <c r="D198" s="4"/>
      <c r="N198" s="6"/>
    </row>
    <row r="199" spans="3:14" x14ac:dyDescent="0.25">
      <c r="C199" s="4"/>
      <c r="D199" s="4"/>
      <c r="N199" s="6"/>
    </row>
    <row r="200" spans="3:14" x14ac:dyDescent="0.25">
      <c r="C200" s="4"/>
      <c r="D200" s="4"/>
      <c r="N200" s="6"/>
    </row>
    <row r="201" spans="3:14" x14ac:dyDescent="0.25">
      <c r="C201" s="4"/>
      <c r="D201" s="4"/>
      <c r="N201" s="6"/>
    </row>
    <row r="202" spans="3:14" x14ac:dyDescent="0.25">
      <c r="C202" s="4"/>
      <c r="D202" s="4"/>
    </row>
    <row r="203" spans="3:14" x14ac:dyDescent="0.25">
      <c r="C203" s="4"/>
      <c r="D203" s="4"/>
    </row>
    <row r="204" spans="3:14" x14ac:dyDescent="0.25">
      <c r="C204" s="4"/>
      <c r="D204" s="4"/>
    </row>
    <row r="205" spans="3:14" x14ac:dyDescent="0.25">
      <c r="C205" s="4"/>
      <c r="D205" s="4"/>
    </row>
    <row r="206" spans="3:14" x14ac:dyDescent="0.25">
      <c r="C206" s="4"/>
      <c r="D206" s="4"/>
    </row>
    <row r="207" spans="3:14" x14ac:dyDescent="0.25">
      <c r="C207" s="4"/>
      <c r="D207" s="4"/>
    </row>
    <row r="208" spans="3:14" x14ac:dyDescent="0.25">
      <c r="C208" s="4"/>
      <c r="D208" s="4"/>
    </row>
    <row r="209" spans="3:4" x14ac:dyDescent="0.25">
      <c r="C209" s="4"/>
      <c r="D209" s="4"/>
    </row>
    <row r="210" spans="3:4" x14ac:dyDescent="0.25">
      <c r="C210" s="4"/>
      <c r="D210" s="4"/>
    </row>
    <row r="211" spans="3:4" x14ac:dyDescent="0.25">
      <c r="C211" s="4"/>
      <c r="D211" s="4"/>
    </row>
    <row r="212" spans="3:4" x14ac:dyDescent="0.25">
      <c r="C212" s="4"/>
      <c r="D212" s="4"/>
    </row>
    <row r="213" spans="3:4" x14ac:dyDescent="0.25">
      <c r="C213" s="4"/>
      <c r="D213" s="4"/>
    </row>
    <row r="214" spans="3:4" x14ac:dyDescent="0.25">
      <c r="C214" s="4"/>
      <c r="D214" s="4"/>
    </row>
    <row r="215" spans="3:4" x14ac:dyDescent="0.25">
      <c r="C215" s="4"/>
      <c r="D215" s="4"/>
    </row>
    <row r="216" spans="3:4" x14ac:dyDescent="0.25">
      <c r="C216" s="4"/>
      <c r="D216" s="4"/>
    </row>
    <row r="217" spans="3:4" x14ac:dyDescent="0.25">
      <c r="C217" s="4"/>
      <c r="D217" s="4"/>
    </row>
    <row r="218" spans="3:4" x14ac:dyDescent="0.25">
      <c r="C218" s="4"/>
      <c r="D218" s="4"/>
    </row>
    <row r="219" spans="3:4" x14ac:dyDescent="0.25">
      <c r="C219" s="4"/>
      <c r="D219" s="4"/>
    </row>
    <row r="220" spans="3:4" x14ac:dyDescent="0.25">
      <c r="C220" s="4"/>
      <c r="D220" s="4"/>
    </row>
    <row r="221" spans="3:4" x14ac:dyDescent="0.25">
      <c r="C221" s="4"/>
      <c r="D221" s="4"/>
    </row>
    <row r="222" spans="3:4" x14ac:dyDescent="0.25">
      <c r="C222" s="4"/>
      <c r="D222" s="4"/>
    </row>
    <row r="223" spans="3:4" x14ac:dyDescent="0.25">
      <c r="C223" s="4"/>
      <c r="D223" s="4"/>
    </row>
    <row r="224" spans="3:4" x14ac:dyDescent="0.25">
      <c r="C224" s="4"/>
      <c r="D224" s="4"/>
    </row>
    <row r="225" spans="3:4" x14ac:dyDescent="0.25">
      <c r="C225" s="4"/>
      <c r="D225" s="4"/>
    </row>
    <row r="226" spans="3:4" x14ac:dyDescent="0.25">
      <c r="C226" s="4"/>
      <c r="D226" s="4"/>
    </row>
    <row r="227" spans="3:4" x14ac:dyDescent="0.25">
      <c r="C227" s="4"/>
      <c r="D227" s="4"/>
    </row>
    <row r="228" spans="3:4" x14ac:dyDescent="0.25">
      <c r="C228" s="4"/>
      <c r="D228" s="4"/>
    </row>
    <row r="229" spans="3:4" x14ac:dyDescent="0.25">
      <c r="C229" s="4"/>
      <c r="D229" s="4"/>
    </row>
    <row r="230" spans="3:4" x14ac:dyDescent="0.25">
      <c r="C230" s="4"/>
      <c r="D230" s="4"/>
    </row>
    <row r="231" spans="3:4" x14ac:dyDescent="0.25">
      <c r="C231" s="4"/>
      <c r="D231" s="4"/>
    </row>
    <row r="232" spans="3:4" x14ac:dyDescent="0.25">
      <c r="C232" s="4"/>
      <c r="D232" s="4"/>
    </row>
    <row r="233" spans="3:4" x14ac:dyDescent="0.25">
      <c r="C233" s="4"/>
      <c r="D233" s="4"/>
    </row>
    <row r="234" spans="3:4" x14ac:dyDescent="0.25">
      <c r="C234" s="4"/>
      <c r="D234" s="4"/>
    </row>
    <row r="235" spans="3:4" x14ac:dyDescent="0.25">
      <c r="C235" s="4"/>
      <c r="D235" s="4"/>
    </row>
    <row r="236" spans="3:4" x14ac:dyDescent="0.25">
      <c r="C236" s="4"/>
      <c r="D236" s="4"/>
    </row>
    <row r="237" spans="3:4" x14ac:dyDescent="0.25">
      <c r="C237" s="4"/>
      <c r="D237" s="4"/>
    </row>
    <row r="238" spans="3:4" x14ac:dyDescent="0.25">
      <c r="C238" s="4"/>
      <c r="D238" s="4"/>
    </row>
    <row r="239" spans="3:4" x14ac:dyDescent="0.25">
      <c r="C239" s="4"/>
      <c r="D239" s="4"/>
    </row>
    <row r="240" spans="3:4" x14ac:dyDescent="0.25">
      <c r="C240" s="4"/>
      <c r="D240" s="4"/>
    </row>
    <row r="241" spans="3:4" x14ac:dyDescent="0.25">
      <c r="C241" s="4"/>
      <c r="D241" s="4"/>
    </row>
    <row r="242" spans="3:4" x14ac:dyDescent="0.25">
      <c r="C242" s="4"/>
      <c r="D242" s="4"/>
    </row>
    <row r="243" spans="3:4" x14ac:dyDescent="0.25">
      <c r="C243" s="4"/>
      <c r="D243" s="4"/>
    </row>
    <row r="244" spans="3:4" x14ac:dyDescent="0.25">
      <c r="C244" s="4"/>
      <c r="D244" s="4"/>
    </row>
    <row r="245" spans="3:4" x14ac:dyDescent="0.25">
      <c r="C245" s="4"/>
      <c r="D245" s="4"/>
    </row>
    <row r="246" spans="3:4" x14ac:dyDescent="0.25">
      <c r="C246" s="4"/>
      <c r="D246" s="4"/>
    </row>
    <row r="247" spans="3:4" x14ac:dyDescent="0.25">
      <c r="C247" s="4"/>
      <c r="D247" s="4"/>
    </row>
    <row r="248" spans="3:4" x14ac:dyDescent="0.25">
      <c r="C248" s="4"/>
      <c r="D248" s="4"/>
    </row>
    <row r="249" spans="3:4" x14ac:dyDescent="0.25">
      <c r="C249" s="4"/>
      <c r="D249" s="4"/>
    </row>
    <row r="250" spans="3:4" x14ac:dyDescent="0.25">
      <c r="C250" s="4"/>
      <c r="D250" s="4"/>
    </row>
    <row r="251" spans="3:4" x14ac:dyDescent="0.25">
      <c r="C251" s="4"/>
      <c r="D251" s="4"/>
    </row>
    <row r="252" spans="3:4" x14ac:dyDescent="0.25">
      <c r="C252" s="4"/>
      <c r="D252" s="4"/>
    </row>
    <row r="253" spans="3:4" x14ac:dyDescent="0.25">
      <c r="C253" s="4"/>
      <c r="D253" s="4"/>
    </row>
    <row r="254" spans="3:4" x14ac:dyDescent="0.25">
      <c r="C254" s="4"/>
      <c r="D254" s="4"/>
    </row>
    <row r="255" spans="3:4" x14ac:dyDescent="0.25">
      <c r="C255" s="4"/>
      <c r="D255" s="4"/>
    </row>
    <row r="256" spans="3:4" x14ac:dyDescent="0.25">
      <c r="C256" s="4"/>
      <c r="D256" s="4"/>
    </row>
    <row r="257" spans="3:4" x14ac:dyDescent="0.25">
      <c r="C257" s="4"/>
      <c r="D257" s="4"/>
    </row>
    <row r="258" spans="3:4" x14ac:dyDescent="0.25">
      <c r="C258" s="4"/>
      <c r="D258" s="4"/>
    </row>
    <row r="259" spans="3:4" x14ac:dyDescent="0.25">
      <c r="C259" s="4"/>
      <c r="D259" s="4"/>
    </row>
    <row r="260" spans="3:4" x14ac:dyDescent="0.25">
      <c r="C260" s="4"/>
      <c r="D260" s="4"/>
    </row>
    <row r="261" spans="3:4" x14ac:dyDescent="0.25">
      <c r="C261" s="4"/>
      <c r="D261" s="4"/>
    </row>
    <row r="262" spans="3:4" x14ac:dyDescent="0.25">
      <c r="C262" s="4"/>
      <c r="D262" s="4"/>
    </row>
    <row r="263" spans="3:4" x14ac:dyDescent="0.25">
      <c r="C263" s="4"/>
      <c r="D263" s="4"/>
    </row>
    <row r="264" spans="3:4" x14ac:dyDescent="0.25">
      <c r="C264" s="4"/>
      <c r="D264" s="4"/>
    </row>
    <row r="265" spans="3:4" x14ac:dyDescent="0.25">
      <c r="C265" s="4"/>
      <c r="D265" s="4"/>
    </row>
    <row r="266" spans="3:4" x14ac:dyDescent="0.25">
      <c r="C266" s="4"/>
      <c r="D266" s="4"/>
    </row>
    <row r="267" spans="3:4" x14ac:dyDescent="0.25">
      <c r="C267" s="4"/>
      <c r="D267" s="4"/>
    </row>
    <row r="268" spans="3:4" x14ac:dyDescent="0.25">
      <c r="C268" s="4"/>
      <c r="D268" s="4"/>
    </row>
    <row r="269" spans="3:4" x14ac:dyDescent="0.25">
      <c r="C269" s="4"/>
      <c r="D269" s="4"/>
    </row>
    <row r="270" spans="3:4" x14ac:dyDescent="0.25">
      <c r="C270" s="4"/>
      <c r="D270" s="4"/>
    </row>
    <row r="271" spans="3:4" x14ac:dyDescent="0.25">
      <c r="C271" s="4"/>
      <c r="D271" s="4"/>
    </row>
    <row r="272" spans="3:4" x14ac:dyDescent="0.25">
      <c r="C272" s="4"/>
      <c r="D272" s="4"/>
    </row>
    <row r="273" spans="3:4" x14ac:dyDescent="0.25">
      <c r="C273" s="4"/>
      <c r="D273" s="4"/>
    </row>
    <row r="274" spans="3:4" x14ac:dyDescent="0.25">
      <c r="C274" s="4"/>
      <c r="D274" s="4"/>
    </row>
    <row r="275" spans="3:4" x14ac:dyDescent="0.25">
      <c r="C275" s="4"/>
      <c r="D275" s="4"/>
    </row>
    <row r="276" spans="3:4" x14ac:dyDescent="0.25">
      <c r="C276" s="4"/>
      <c r="D276" s="4"/>
    </row>
    <row r="277" spans="3:4" x14ac:dyDescent="0.25">
      <c r="C277" s="4"/>
      <c r="D277" s="4"/>
    </row>
    <row r="278" spans="3:4" x14ac:dyDescent="0.25">
      <c r="C278" s="4"/>
      <c r="D278" s="4"/>
    </row>
    <row r="279" spans="3:4" x14ac:dyDescent="0.25">
      <c r="C279" s="4"/>
      <c r="D279" s="4"/>
    </row>
    <row r="280" spans="3:4" x14ac:dyDescent="0.25">
      <c r="C280" s="4"/>
      <c r="D280" s="4"/>
    </row>
    <row r="281" spans="3:4" x14ac:dyDescent="0.25">
      <c r="C281" s="4"/>
      <c r="D281" s="4"/>
    </row>
    <row r="282" spans="3:4" x14ac:dyDescent="0.25">
      <c r="C282" s="4"/>
      <c r="D282" s="4"/>
    </row>
    <row r="283" spans="3:4" x14ac:dyDescent="0.25">
      <c r="C283" s="4"/>
      <c r="D283" s="4"/>
    </row>
    <row r="284" spans="3:4" x14ac:dyDescent="0.25">
      <c r="C284" s="4"/>
      <c r="D284" s="4"/>
    </row>
    <row r="285" spans="3:4" x14ac:dyDescent="0.25">
      <c r="C285" s="4"/>
      <c r="D285" s="4"/>
    </row>
    <row r="286" spans="3:4" x14ac:dyDescent="0.25">
      <c r="C286" s="4"/>
      <c r="D286" s="4"/>
    </row>
    <row r="287" spans="3:4" x14ac:dyDescent="0.25">
      <c r="C287" s="4"/>
      <c r="D287" s="4"/>
    </row>
    <row r="288" spans="3:4" x14ac:dyDescent="0.25">
      <c r="C288" s="4"/>
      <c r="D288" s="4"/>
    </row>
    <row r="289" spans="3:4" x14ac:dyDescent="0.25">
      <c r="C289" s="4"/>
      <c r="D289" s="4"/>
    </row>
    <row r="290" spans="3:4" x14ac:dyDescent="0.25">
      <c r="C290" s="4"/>
      <c r="D290" s="4"/>
    </row>
    <row r="291" spans="3:4" x14ac:dyDescent="0.25">
      <c r="C291" s="4"/>
      <c r="D291" s="4"/>
    </row>
    <row r="292" spans="3:4" x14ac:dyDescent="0.25">
      <c r="C292" s="4"/>
      <c r="D292" s="4"/>
    </row>
    <row r="293" spans="3:4" x14ac:dyDescent="0.25">
      <c r="C293" s="4"/>
      <c r="D293" s="4"/>
    </row>
    <row r="294" spans="3:4" x14ac:dyDescent="0.25">
      <c r="C294" s="4"/>
      <c r="D294" s="4"/>
    </row>
    <row r="295" spans="3:4" x14ac:dyDescent="0.25">
      <c r="C295" s="4"/>
      <c r="D295" s="4"/>
    </row>
    <row r="296" spans="3:4" x14ac:dyDescent="0.25">
      <c r="C296" s="4"/>
      <c r="D296" s="4"/>
    </row>
    <row r="297" spans="3:4" x14ac:dyDescent="0.25">
      <c r="C297" s="4"/>
      <c r="D297" s="4"/>
    </row>
    <row r="298" spans="3:4" x14ac:dyDescent="0.25">
      <c r="C298" s="4"/>
      <c r="D298" s="4"/>
    </row>
    <row r="299" spans="3:4" x14ac:dyDescent="0.25">
      <c r="C299" s="4"/>
      <c r="D299" s="4"/>
    </row>
    <row r="300" spans="3:4" x14ac:dyDescent="0.25">
      <c r="C300" s="4"/>
      <c r="D300" s="4"/>
    </row>
    <row r="301" spans="3:4" x14ac:dyDescent="0.25">
      <c r="C301" s="4"/>
      <c r="D301" s="4"/>
    </row>
    <row r="302" spans="3:4" x14ac:dyDescent="0.25">
      <c r="C302" s="4"/>
      <c r="D302" s="4"/>
    </row>
    <row r="303" spans="3:4" x14ac:dyDescent="0.25">
      <c r="C303" s="4"/>
      <c r="D303" s="4"/>
    </row>
    <row r="304" spans="3:4" x14ac:dyDescent="0.25">
      <c r="C304" s="4"/>
      <c r="D304" s="4"/>
    </row>
    <row r="305" spans="3:4" x14ac:dyDescent="0.25">
      <c r="C305" s="4"/>
      <c r="D305" s="4"/>
    </row>
    <row r="306" spans="3:4" x14ac:dyDescent="0.25">
      <c r="C306" s="4"/>
      <c r="D306" s="4"/>
    </row>
    <row r="307" spans="3:4" x14ac:dyDescent="0.25">
      <c r="C307" s="4"/>
      <c r="D307" s="4"/>
    </row>
    <row r="308" spans="3:4" x14ac:dyDescent="0.25">
      <c r="C308" s="4"/>
      <c r="D308" s="4"/>
    </row>
    <row r="309" spans="3:4" x14ac:dyDescent="0.25">
      <c r="C309" s="4"/>
      <c r="D309" s="4"/>
    </row>
    <row r="310" spans="3:4" x14ac:dyDescent="0.25">
      <c r="C310" s="4"/>
      <c r="D310" s="4"/>
    </row>
    <row r="311" spans="3:4" x14ac:dyDescent="0.25">
      <c r="C311" s="4"/>
      <c r="D311" s="4"/>
    </row>
    <row r="312" spans="3:4" x14ac:dyDescent="0.25">
      <c r="C312" s="4"/>
      <c r="D312" s="4"/>
    </row>
    <row r="313" spans="3:4" x14ac:dyDescent="0.25">
      <c r="C313" s="4"/>
      <c r="D313" s="4"/>
    </row>
    <row r="314" spans="3:4" x14ac:dyDescent="0.25">
      <c r="C314" s="4"/>
      <c r="D314" s="4"/>
    </row>
    <row r="315" spans="3:4" x14ac:dyDescent="0.25">
      <c r="C315" s="4"/>
      <c r="D315" s="4"/>
    </row>
    <row r="316" spans="3:4" x14ac:dyDescent="0.25">
      <c r="C316" s="4"/>
      <c r="D316" s="4"/>
    </row>
    <row r="317" spans="3:4" x14ac:dyDescent="0.25">
      <c r="C317" s="4"/>
      <c r="D317" s="4"/>
    </row>
    <row r="318" spans="3:4" x14ac:dyDescent="0.25">
      <c r="C318" s="4"/>
      <c r="D318" s="4"/>
    </row>
    <row r="319" spans="3:4" x14ac:dyDescent="0.25">
      <c r="C319" s="4"/>
      <c r="D319" s="4"/>
    </row>
    <row r="320" spans="3:4" x14ac:dyDescent="0.25">
      <c r="C320" s="4"/>
      <c r="D320" s="4"/>
    </row>
    <row r="321" spans="3:4" x14ac:dyDescent="0.25">
      <c r="C321" s="4"/>
      <c r="D321" s="4"/>
    </row>
    <row r="322" spans="3:4" x14ac:dyDescent="0.25">
      <c r="C322" s="4"/>
      <c r="D322" s="4"/>
    </row>
    <row r="323" spans="3:4" x14ac:dyDescent="0.25">
      <c r="C323" s="4"/>
      <c r="D323" s="4"/>
    </row>
    <row r="324" spans="3:4" x14ac:dyDescent="0.25">
      <c r="C324" s="4"/>
      <c r="D324" s="4"/>
    </row>
    <row r="325" spans="3:4" x14ac:dyDescent="0.25">
      <c r="C325" s="4"/>
      <c r="D325" s="4"/>
    </row>
    <row r="326" spans="3:4" x14ac:dyDescent="0.25">
      <c r="C326" s="4"/>
      <c r="D326" s="4"/>
    </row>
    <row r="327" spans="3:4" x14ac:dyDescent="0.25">
      <c r="C327" s="4"/>
      <c r="D327" s="4"/>
    </row>
    <row r="328" spans="3:4" x14ac:dyDescent="0.25">
      <c r="C328" s="4"/>
      <c r="D328" s="4"/>
    </row>
    <row r="329" spans="3:4" x14ac:dyDescent="0.25">
      <c r="C329" s="4"/>
      <c r="D329" s="4"/>
    </row>
    <row r="330" spans="3:4" x14ac:dyDescent="0.25">
      <c r="C330" s="4"/>
      <c r="D330" s="4"/>
    </row>
    <row r="331" spans="3:4" x14ac:dyDescent="0.25">
      <c r="C331" s="4"/>
      <c r="D331" s="4"/>
    </row>
    <row r="332" spans="3:4" x14ac:dyDescent="0.25">
      <c r="C332" s="4"/>
      <c r="D332" s="4"/>
    </row>
    <row r="333" spans="3:4" x14ac:dyDescent="0.25">
      <c r="C333" s="4"/>
      <c r="D333" s="4"/>
    </row>
    <row r="334" spans="3:4" x14ac:dyDescent="0.25">
      <c r="C334" s="4"/>
      <c r="D334" s="4"/>
    </row>
    <row r="335" spans="3:4" x14ac:dyDescent="0.25">
      <c r="C335" s="4"/>
      <c r="D335" s="4"/>
    </row>
    <row r="336" spans="3:4" x14ac:dyDescent="0.25">
      <c r="C336" s="4"/>
      <c r="D336" s="4"/>
    </row>
    <row r="337" spans="3:4" x14ac:dyDescent="0.25">
      <c r="C337" s="4"/>
      <c r="D337" s="4"/>
    </row>
    <row r="338" spans="3:4" x14ac:dyDescent="0.25">
      <c r="C338" s="4"/>
      <c r="D338" s="4"/>
    </row>
    <row r="339" spans="3:4" x14ac:dyDescent="0.25">
      <c r="C339" s="4"/>
      <c r="D339" s="4"/>
    </row>
    <row r="340" spans="3:4" x14ac:dyDescent="0.25">
      <c r="C340" s="4"/>
      <c r="D340" s="4"/>
    </row>
    <row r="341" spans="3:4" x14ac:dyDescent="0.25">
      <c r="C341" s="4"/>
      <c r="D341" s="4"/>
    </row>
    <row r="342" spans="3:4" x14ac:dyDescent="0.25">
      <c r="C342" s="4"/>
      <c r="D342" s="4"/>
    </row>
    <row r="343" spans="3:4" x14ac:dyDescent="0.25">
      <c r="C343" s="4"/>
      <c r="D343" s="4"/>
    </row>
    <row r="344" spans="3:4" x14ac:dyDescent="0.25">
      <c r="C344" s="4"/>
      <c r="D344" s="4"/>
    </row>
    <row r="345" spans="3:4" x14ac:dyDescent="0.25">
      <c r="C345" s="4"/>
      <c r="D345" s="4"/>
    </row>
    <row r="346" spans="3:4" x14ac:dyDescent="0.25">
      <c r="C346" s="4"/>
      <c r="D346" s="4"/>
    </row>
    <row r="347" spans="3:4" x14ac:dyDescent="0.25">
      <c r="C347" s="4"/>
      <c r="D347" s="4"/>
    </row>
    <row r="348" spans="3:4" x14ac:dyDescent="0.25">
      <c r="C348" s="4"/>
      <c r="D348" s="4"/>
    </row>
    <row r="349" spans="3:4" x14ac:dyDescent="0.25">
      <c r="C349" s="4"/>
      <c r="D349" s="4"/>
    </row>
    <row r="350" spans="3:4" x14ac:dyDescent="0.25">
      <c r="C350" s="4"/>
      <c r="D350" s="4"/>
    </row>
    <row r="351" spans="3:4" x14ac:dyDescent="0.25">
      <c r="C351" s="4"/>
      <c r="D351" s="4"/>
    </row>
    <row r="352" spans="3:4" x14ac:dyDescent="0.25">
      <c r="C352" s="4"/>
      <c r="D352" s="4"/>
    </row>
    <row r="353" spans="3:4" x14ac:dyDescent="0.25">
      <c r="C353" s="4"/>
      <c r="D353" s="4"/>
    </row>
    <row r="354" spans="3:4" x14ac:dyDescent="0.25">
      <c r="C354" s="4"/>
      <c r="D354" s="4"/>
    </row>
    <row r="355" spans="3:4" x14ac:dyDescent="0.25">
      <c r="C355" s="4"/>
      <c r="D355" s="4"/>
    </row>
    <row r="356" spans="3:4" x14ac:dyDescent="0.25">
      <c r="C356" s="4"/>
      <c r="D356" s="4"/>
    </row>
    <row r="357" spans="3:4" x14ac:dyDescent="0.25">
      <c r="C357" s="4"/>
      <c r="D357" s="4"/>
    </row>
    <row r="358" spans="3:4" x14ac:dyDescent="0.25">
      <c r="C358" s="4"/>
      <c r="D358" s="4"/>
    </row>
    <row r="359" spans="3:4" x14ac:dyDescent="0.25">
      <c r="C359" s="4"/>
      <c r="D359" s="4"/>
    </row>
    <row r="360" spans="3:4" x14ac:dyDescent="0.25">
      <c r="C360" s="4"/>
      <c r="D360" s="4"/>
    </row>
    <row r="361" spans="3:4" x14ac:dyDescent="0.25">
      <c r="C361" s="4"/>
      <c r="D361" s="4"/>
    </row>
    <row r="362" spans="3:4" x14ac:dyDescent="0.25">
      <c r="C362" s="4"/>
      <c r="D362" s="4"/>
    </row>
    <row r="363" spans="3:4" x14ac:dyDescent="0.25">
      <c r="C363" s="4"/>
      <c r="D363" s="4"/>
    </row>
    <row r="364" spans="3:4" x14ac:dyDescent="0.25">
      <c r="C364" s="4"/>
      <c r="D364" s="4"/>
    </row>
    <row r="365" spans="3:4" x14ac:dyDescent="0.25">
      <c r="C365" s="4"/>
      <c r="D365" s="4"/>
    </row>
    <row r="366" spans="3:4" x14ac:dyDescent="0.25">
      <c r="C366" s="4"/>
      <c r="D366" s="4"/>
    </row>
    <row r="367" spans="3:4" x14ac:dyDescent="0.25">
      <c r="C367" s="4"/>
      <c r="D367" s="4"/>
    </row>
    <row r="368" spans="3:4" x14ac:dyDescent="0.25">
      <c r="C368" s="4"/>
      <c r="D368" s="4"/>
    </row>
    <row r="369" spans="3:4" x14ac:dyDescent="0.25">
      <c r="C369" s="4"/>
      <c r="D369" s="4"/>
    </row>
    <row r="370" spans="3:4" x14ac:dyDescent="0.25">
      <c r="C370" s="4"/>
      <c r="D370" s="4"/>
    </row>
    <row r="371" spans="3:4" x14ac:dyDescent="0.25">
      <c r="C371" s="4"/>
      <c r="D371" s="4"/>
    </row>
    <row r="372" spans="3:4" x14ac:dyDescent="0.25">
      <c r="C372" s="4"/>
      <c r="D372" s="4"/>
    </row>
    <row r="373" spans="3:4" x14ac:dyDescent="0.25">
      <c r="C373" s="4"/>
      <c r="D373" s="4"/>
    </row>
    <row r="374" spans="3:4" x14ac:dyDescent="0.25">
      <c r="C374" s="4"/>
      <c r="D374" s="4"/>
    </row>
    <row r="375" spans="3:4" x14ac:dyDescent="0.25">
      <c r="C375" s="4"/>
      <c r="D375" s="4"/>
    </row>
    <row r="376" spans="3:4" x14ac:dyDescent="0.25">
      <c r="C376" s="4"/>
      <c r="D376" s="4"/>
    </row>
    <row r="377" spans="3:4" x14ac:dyDescent="0.25">
      <c r="C377" s="4"/>
      <c r="D377" s="4"/>
    </row>
    <row r="378" spans="3:4" x14ac:dyDescent="0.25">
      <c r="C378" s="4"/>
      <c r="D378" s="4"/>
    </row>
    <row r="379" spans="3:4" x14ac:dyDescent="0.25">
      <c r="C379" s="4"/>
      <c r="D379" s="4"/>
    </row>
    <row r="380" spans="3:4" x14ac:dyDescent="0.25">
      <c r="C380" s="4"/>
      <c r="D380" s="4"/>
    </row>
    <row r="381" spans="3:4" x14ac:dyDescent="0.25">
      <c r="C381" s="4"/>
      <c r="D381" s="4"/>
    </row>
    <row r="382" spans="3:4" x14ac:dyDescent="0.25">
      <c r="C382" s="4"/>
      <c r="D382" s="4"/>
    </row>
    <row r="383" spans="3:4" x14ac:dyDescent="0.25">
      <c r="C383" s="4"/>
      <c r="D383" s="4"/>
    </row>
    <row r="384" spans="3:4" x14ac:dyDescent="0.25">
      <c r="C384" s="4"/>
      <c r="D384" s="4"/>
    </row>
    <row r="385" spans="3:4" x14ac:dyDescent="0.25">
      <c r="C385" s="4"/>
      <c r="D385" s="4"/>
    </row>
    <row r="386" spans="3:4" x14ac:dyDescent="0.25">
      <c r="C386" s="4"/>
      <c r="D386" s="4"/>
    </row>
    <row r="387" spans="3:4" x14ac:dyDescent="0.25">
      <c r="C387" s="4"/>
      <c r="D387" s="4"/>
    </row>
    <row r="388" spans="3:4" x14ac:dyDescent="0.25">
      <c r="C388" s="4"/>
      <c r="D388" s="4"/>
    </row>
    <row r="389" spans="3:4" x14ac:dyDescent="0.25">
      <c r="C389" s="4"/>
      <c r="D389" s="4"/>
    </row>
    <row r="390" spans="3:4" x14ac:dyDescent="0.25">
      <c r="C390" s="4"/>
      <c r="D390" s="4"/>
    </row>
    <row r="391" spans="3:4" x14ac:dyDescent="0.25">
      <c r="C391" s="4"/>
      <c r="D391" s="4"/>
    </row>
    <row r="392" spans="3:4" x14ac:dyDescent="0.25">
      <c r="C392" s="4"/>
      <c r="D392" s="4"/>
    </row>
    <row r="393" spans="3:4" x14ac:dyDescent="0.25">
      <c r="C393" s="4"/>
      <c r="D393" s="4"/>
    </row>
    <row r="394" spans="3:4" x14ac:dyDescent="0.25">
      <c r="C394" s="4"/>
      <c r="D394" s="4"/>
    </row>
    <row r="395" spans="3:4" x14ac:dyDescent="0.25">
      <c r="C395" s="4"/>
      <c r="D395" s="4"/>
    </row>
    <row r="396" spans="3:4" x14ac:dyDescent="0.25">
      <c r="C396" s="4"/>
      <c r="D396" s="4"/>
    </row>
    <row r="397" spans="3:4" x14ac:dyDescent="0.25">
      <c r="C397" s="4"/>
      <c r="D397" s="4"/>
    </row>
    <row r="398" spans="3:4" x14ac:dyDescent="0.25">
      <c r="C398" s="4"/>
      <c r="D398" s="4"/>
    </row>
    <row r="399" spans="3:4" x14ac:dyDescent="0.25">
      <c r="C399" s="4"/>
      <c r="D399" s="4"/>
    </row>
    <row r="400" spans="3:4" x14ac:dyDescent="0.25">
      <c r="C400" s="4"/>
      <c r="D400" s="4"/>
    </row>
    <row r="401" spans="3:5" x14ac:dyDescent="0.25">
      <c r="C401" s="4"/>
      <c r="D401" s="4"/>
    </row>
    <row r="402" spans="3:5" x14ac:dyDescent="0.25">
      <c r="C402" s="4"/>
      <c r="D402" s="4"/>
    </row>
    <row r="403" spans="3:5" x14ac:dyDescent="0.25">
      <c r="C403" s="4"/>
      <c r="D403" s="4"/>
    </row>
    <row r="404" spans="3:5" x14ac:dyDescent="0.25">
      <c r="C404" s="4"/>
      <c r="D404" s="4"/>
    </row>
    <row r="405" spans="3:5" x14ac:dyDescent="0.25">
      <c r="C405" s="4"/>
      <c r="D405" s="4"/>
    </row>
    <row r="406" spans="3:5" x14ac:dyDescent="0.25">
      <c r="C406" s="4"/>
      <c r="D406" s="4"/>
    </row>
    <row r="407" spans="3:5" x14ac:dyDescent="0.25">
      <c r="C407" s="4"/>
      <c r="D407" s="4"/>
    </row>
    <row r="408" spans="3:5" x14ac:dyDescent="0.25">
      <c r="C408" s="4"/>
      <c r="D408" s="4"/>
    </row>
    <row r="409" spans="3:5" x14ac:dyDescent="0.25">
      <c r="C409" s="4"/>
      <c r="D409" s="4"/>
    </row>
    <row r="410" spans="3:5" x14ac:dyDescent="0.25">
      <c r="C410" s="4"/>
      <c r="D410" s="4"/>
    </row>
    <row r="411" spans="3:5" x14ac:dyDescent="0.25">
      <c r="C411" s="4"/>
      <c r="D411" s="4"/>
    </row>
    <row r="412" spans="3:5" x14ac:dyDescent="0.25">
      <c r="C412" s="4"/>
      <c r="D412" s="4"/>
    </row>
    <row r="413" spans="3:5" x14ac:dyDescent="0.25">
      <c r="C413" s="4"/>
      <c r="D413" s="4"/>
    </row>
    <row r="414" spans="3:5" x14ac:dyDescent="0.25">
      <c r="C414" s="4"/>
      <c r="D414" s="4"/>
    </row>
    <row r="415" spans="3:5" x14ac:dyDescent="0.25">
      <c r="C415" s="4"/>
      <c r="D415" s="4"/>
      <c r="E415"/>
    </row>
    <row r="416" spans="3:5" x14ac:dyDescent="0.25">
      <c r="C416" s="4"/>
      <c r="D416" s="4"/>
      <c r="E416"/>
    </row>
    <row r="417" spans="3:5" x14ac:dyDescent="0.25">
      <c r="C417" s="4"/>
      <c r="D417" s="4"/>
      <c r="E417"/>
    </row>
    <row r="418" spans="3:5" x14ac:dyDescent="0.25">
      <c r="C418" s="4"/>
      <c r="D418" s="4"/>
      <c r="E418"/>
    </row>
    <row r="419" spans="3:5" x14ac:dyDescent="0.25">
      <c r="C419" s="4"/>
      <c r="D419" s="4"/>
      <c r="E419"/>
    </row>
    <row r="420" spans="3:5" x14ac:dyDescent="0.25">
      <c r="C420" s="4"/>
      <c r="D420" s="4"/>
      <c r="E420"/>
    </row>
    <row r="421" spans="3:5" x14ac:dyDescent="0.25">
      <c r="C421" s="4"/>
      <c r="D421" s="4"/>
      <c r="E421"/>
    </row>
    <row r="422" spans="3:5" x14ac:dyDescent="0.25">
      <c r="C422" s="4"/>
      <c r="D422" s="4"/>
      <c r="E422"/>
    </row>
    <row r="423" spans="3:5" x14ac:dyDescent="0.25">
      <c r="C423" s="4"/>
      <c r="D423" s="4"/>
      <c r="E423"/>
    </row>
    <row r="424" spans="3:5" x14ac:dyDescent="0.25">
      <c r="C424" s="4"/>
      <c r="D424" s="4"/>
      <c r="E424"/>
    </row>
    <row r="425" spans="3:5" x14ac:dyDescent="0.25">
      <c r="C425" s="4"/>
      <c r="D425" s="4"/>
      <c r="E425"/>
    </row>
    <row r="426" spans="3:5" x14ac:dyDescent="0.25">
      <c r="C426" s="4"/>
      <c r="D426" s="4"/>
      <c r="E426"/>
    </row>
    <row r="427" spans="3:5" x14ac:dyDescent="0.25">
      <c r="C427" s="4"/>
      <c r="D427" s="4"/>
      <c r="E427"/>
    </row>
    <row r="428" spans="3:5" x14ac:dyDescent="0.25">
      <c r="C428" s="4"/>
      <c r="D428" s="4"/>
      <c r="E428"/>
    </row>
    <row r="429" spans="3:5" x14ac:dyDescent="0.25">
      <c r="C429" s="4"/>
      <c r="D429" s="4"/>
      <c r="E429"/>
    </row>
    <row r="430" spans="3:5" x14ac:dyDescent="0.25">
      <c r="C430" s="4"/>
      <c r="D430" s="4"/>
      <c r="E430"/>
    </row>
    <row r="431" spans="3:5" x14ac:dyDescent="0.25">
      <c r="C431" s="4"/>
      <c r="D431" s="4"/>
      <c r="E431"/>
    </row>
    <row r="432" spans="3:5" x14ac:dyDescent="0.25">
      <c r="C432" s="4"/>
      <c r="D432" s="4"/>
      <c r="E432"/>
    </row>
    <row r="433" spans="3:5" x14ac:dyDescent="0.25">
      <c r="C433" s="4"/>
      <c r="D433" s="4"/>
      <c r="E433"/>
    </row>
    <row r="434" spans="3:5" x14ac:dyDescent="0.25">
      <c r="C434" s="4"/>
      <c r="D434" s="4"/>
      <c r="E434"/>
    </row>
    <row r="435" spans="3:5" x14ac:dyDescent="0.25">
      <c r="C435" s="4"/>
      <c r="D435" s="4"/>
      <c r="E435"/>
    </row>
    <row r="436" spans="3:5" x14ac:dyDescent="0.25">
      <c r="C436" s="4"/>
      <c r="D436" s="4"/>
      <c r="E436"/>
    </row>
    <row r="437" spans="3:5" x14ac:dyDescent="0.25">
      <c r="C437" s="4"/>
      <c r="D437" s="4"/>
      <c r="E437"/>
    </row>
    <row r="438" spans="3:5" x14ac:dyDescent="0.25">
      <c r="C438" s="4"/>
      <c r="D438" s="4"/>
      <c r="E438"/>
    </row>
    <row r="439" spans="3:5" x14ac:dyDescent="0.25">
      <c r="C439" s="4"/>
      <c r="D439" s="4"/>
      <c r="E439"/>
    </row>
    <row r="440" spans="3:5" x14ac:dyDescent="0.25">
      <c r="C440" s="4"/>
      <c r="D440" s="4"/>
      <c r="E440"/>
    </row>
    <row r="441" spans="3:5" x14ac:dyDescent="0.25">
      <c r="C441" s="4"/>
      <c r="D441" s="4"/>
      <c r="E441"/>
    </row>
    <row r="442" spans="3:5" x14ac:dyDescent="0.25">
      <c r="C442" s="4"/>
      <c r="D442" s="4"/>
      <c r="E442"/>
    </row>
    <row r="443" spans="3:5" x14ac:dyDescent="0.25">
      <c r="C443" s="4"/>
      <c r="D443" s="4"/>
      <c r="E443"/>
    </row>
    <row r="444" spans="3:5" x14ac:dyDescent="0.25">
      <c r="C444" s="4"/>
      <c r="D444" s="4"/>
      <c r="E444"/>
    </row>
    <row r="445" spans="3:5" x14ac:dyDescent="0.25">
      <c r="C445" s="4"/>
      <c r="D445" s="4"/>
      <c r="E445"/>
    </row>
    <row r="446" spans="3:5" x14ac:dyDescent="0.25">
      <c r="C446" s="4"/>
      <c r="D446" s="4"/>
      <c r="E446"/>
    </row>
    <row r="447" spans="3:5" x14ac:dyDescent="0.25">
      <c r="C447" s="4"/>
      <c r="D447" s="4"/>
      <c r="E447"/>
    </row>
    <row r="448" spans="3:5" x14ac:dyDescent="0.25">
      <c r="C448" s="4"/>
      <c r="D448" s="4"/>
      <c r="E448"/>
    </row>
    <row r="449" spans="3:5" x14ac:dyDescent="0.25">
      <c r="C449" s="4"/>
      <c r="D449" s="4"/>
      <c r="E449"/>
    </row>
    <row r="450" spans="3:5" x14ac:dyDescent="0.25">
      <c r="C450" s="4"/>
      <c r="D450" s="4"/>
      <c r="E450"/>
    </row>
    <row r="451" spans="3:5" x14ac:dyDescent="0.25">
      <c r="C451" s="4"/>
      <c r="D451" s="4"/>
      <c r="E451"/>
    </row>
    <row r="452" spans="3:5" x14ac:dyDescent="0.25">
      <c r="C452" s="4"/>
      <c r="D452" s="4"/>
      <c r="E452"/>
    </row>
    <row r="453" spans="3:5" x14ac:dyDescent="0.25">
      <c r="C453" s="4"/>
      <c r="D453" s="4"/>
      <c r="E453"/>
    </row>
    <row r="454" spans="3:5" x14ac:dyDescent="0.25">
      <c r="C454" s="4"/>
      <c r="D454" s="4"/>
      <c r="E454"/>
    </row>
    <row r="455" spans="3:5" x14ac:dyDescent="0.25">
      <c r="C455" s="4"/>
      <c r="D455" s="4"/>
      <c r="E455"/>
    </row>
    <row r="456" spans="3:5" x14ac:dyDescent="0.25">
      <c r="C456" s="4"/>
      <c r="D456" s="4"/>
      <c r="E456"/>
    </row>
    <row r="457" spans="3:5" x14ac:dyDescent="0.25">
      <c r="C457" s="4"/>
      <c r="D457" s="4"/>
      <c r="E457"/>
    </row>
    <row r="458" spans="3:5" x14ac:dyDescent="0.25">
      <c r="C458" s="4"/>
      <c r="D458" s="4"/>
      <c r="E458"/>
    </row>
    <row r="459" spans="3:5" x14ac:dyDescent="0.25">
      <c r="C459" s="4"/>
      <c r="D459" s="4"/>
      <c r="E459"/>
    </row>
    <row r="460" spans="3:5" x14ac:dyDescent="0.25">
      <c r="C460" s="4"/>
      <c r="D460" s="4"/>
      <c r="E460"/>
    </row>
    <row r="461" spans="3:5" x14ac:dyDescent="0.25">
      <c r="C461" s="4"/>
      <c r="D461" s="4"/>
      <c r="E461"/>
    </row>
    <row r="462" spans="3:5" x14ac:dyDescent="0.25">
      <c r="C462" s="4"/>
      <c r="D462" s="4"/>
      <c r="E462"/>
    </row>
    <row r="463" spans="3:5" x14ac:dyDescent="0.25">
      <c r="C463" s="4"/>
      <c r="D463" s="4"/>
      <c r="E463"/>
    </row>
    <row r="464" spans="3:5" x14ac:dyDescent="0.25">
      <c r="C464" s="4"/>
      <c r="D464" s="4"/>
      <c r="E464"/>
    </row>
    <row r="465" spans="3:5" x14ac:dyDescent="0.25">
      <c r="C465" s="4"/>
      <c r="D465" s="4"/>
      <c r="E465"/>
    </row>
    <row r="466" spans="3:5" x14ac:dyDescent="0.25">
      <c r="C466" s="4"/>
      <c r="D466" s="4"/>
      <c r="E466"/>
    </row>
    <row r="467" spans="3:5" x14ac:dyDescent="0.25">
      <c r="C467" s="4"/>
      <c r="D467" s="4"/>
      <c r="E467"/>
    </row>
    <row r="468" spans="3:5" x14ac:dyDescent="0.25">
      <c r="C468" s="4"/>
      <c r="D468" s="4"/>
      <c r="E468"/>
    </row>
    <row r="469" spans="3:5" x14ac:dyDescent="0.25">
      <c r="C469" s="4"/>
      <c r="D469" s="4"/>
      <c r="E469"/>
    </row>
    <row r="470" spans="3:5" x14ac:dyDescent="0.25">
      <c r="C470" s="4"/>
      <c r="D470" s="4"/>
      <c r="E470"/>
    </row>
    <row r="471" spans="3:5" x14ac:dyDescent="0.25">
      <c r="C471" s="4"/>
      <c r="D471" s="4"/>
      <c r="E471"/>
    </row>
    <row r="472" spans="3:5" x14ac:dyDescent="0.25">
      <c r="C472" s="4"/>
      <c r="D472" s="4"/>
      <c r="E472"/>
    </row>
    <row r="473" spans="3:5" x14ac:dyDescent="0.25">
      <c r="C473" s="4"/>
      <c r="D473" s="4"/>
      <c r="E473"/>
    </row>
    <row r="474" spans="3:5" x14ac:dyDescent="0.25">
      <c r="C474" s="4"/>
      <c r="D474" s="4"/>
      <c r="E474"/>
    </row>
    <row r="475" spans="3:5" x14ac:dyDescent="0.25">
      <c r="C475" s="4"/>
      <c r="D475" s="4"/>
      <c r="E475"/>
    </row>
    <row r="476" spans="3:5" x14ac:dyDescent="0.25">
      <c r="C476" s="4"/>
      <c r="D476" s="4"/>
      <c r="E476"/>
    </row>
    <row r="477" spans="3:5" x14ac:dyDescent="0.25">
      <c r="C477" s="4"/>
      <c r="D477" s="4"/>
      <c r="E477"/>
    </row>
    <row r="478" spans="3:5" x14ac:dyDescent="0.25">
      <c r="C478" s="4"/>
      <c r="D478" s="4"/>
      <c r="E478"/>
    </row>
    <row r="479" spans="3:5" x14ac:dyDescent="0.25">
      <c r="C479" s="4"/>
      <c r="D479" s="4"/>
      <c r="E479"/>
    </row>
    <row r="480" spans="3:5" x14ac:dyDescent="0.25">
      <c r="C480" s="4"/>
      <c r="D480" s="4"/>
      <c r="E480"/>
    </row>
    <row r="481" spans="3:5" x14ac:dyDescent="0.25">
      <c r="C481" s="4"/>
      <c r="D481" s="4"/>
      <c r="E481"/>
    </row>
    <row r="482" spans="3:5" x14ac:dyDescent="0.25">
      <c r="C482" s="4"/>
      <c r="D482" s="4"/>
      <c r="E482"/>
    </row>
    <row r="483" spans="3:5" x14ac:dyDescent="0.25">
      <c r="C483" s="4"/>
      <c r="D483" s="4"/>
      <c r="E483"/>
    </row>
    <row r="484" spans="3:5" x14ac:dyDescent="0.25">
      <c r="C484" s="4"/>
      <c r="D484" s="4"/>
      <c r="E484"/>
    </row>
    <row r="485" spans="3:5" x14ac:dyDescent="0.25">
      <c r="C485" s="4"/>
      <c r="D485" s="4"/>
      <c r="E485"/>
    </row>
    <row r="486" spans="3:5" x14ac:dyDescent="0.25">
      <c r="C486" s="4"/>
      <c r="D486" s="4"/>
      <c r="E486"/>
    </row>
    <row r="487" spans="3:5" x14ac:dyDescent="0.25">
      <c r="C487" s="4"/>
      <c r="D487" s="4"/>
      <c r="E487"/>
    </row>
    <row r="488" spans="3:5" x14ac:dyDescent="0.25">
      <c r="C488" s="4"/>
      <c r="D488" s="4"/>
      <c r="E488"/>
    </row>
    <row r="489" spans="3:5" x14ac:dyDescent="0.25">
      <c r="C489" s="4"/>
      <c r="D489" s="4"/>
      <c r="E489"/>
    </row>
    <row r="490" spans="3:5" x14ac:dyDescent="0.25">
      <c r="C490" s="4"/>
      <c r="D490" s="4"/>
      <c r="E490"/>
    </row>
    <row r="491" spans="3:5" x14ac:dyDescent="0.25">
      <c r="C491" s="4"/>
      <c r="D491" s="4"/>
      <c r="E491"/>
    </row>
    <row r="492" spans="3:5" x14ac:dyDescent="0.25">
      <c r="C492" s="4"/>
      <c r="D492" s="4"/>
      <c r="E492"/>
    </row>
    <row r="493" spans="3:5" x14ac:dyDescent="0.25">
      <c r="C493" s="4"/>
      <c r="D493" s="4"/>
      <c r="E493"/>
    </row>
    <row r="494" spans="3:5" x14ac:dyDescent="0.25">
      <c r="C494" s="4"/>
      <c r="D494" s="4"/>
      <c r="E494"/>
    </row>
    <row r="495" spans="3:5" x14ac:dyDescent="0.25">
      <c r="C495" s="4"/>
      <c r="D495" s="4"/>
    </row>
    <row r="496" spans="3:5" x14ac:dyDescent="0.25">
      <c r="C496" s="4"/>
      <c r="D496" s="4"/>
    </row>
    <row r="497" spans="3:4" x14ac:dyDescent="0.25">
      <c r="C497" s="4"/>
      <c r="D497" s="4"/>
    </row>
    <row r="498" spans="3:4" x14ac:dyDescent="0.25">
      <c r="C498" s="4"/>
      <c r="D498" s="4"/>
    </row>
    <row r="499" spans="3:4" x14ac:dyDescent="0.25">
      <c r="C499" s="4"/>
      <c r="D499" s="4"/>
    </row>
    <row r="500" spans="3:4" x14ac:dyDescent="0.25">
      <c r="C500" s="4"/>
      <c r="D500" s="4"/>
    </row>
    <row r="501" spans="3:4" x14ac:dyDescent="0.25">
      <c r="C501" s="4"/>
      <c r="D501" s="4"/>
    </row>
    <row r="502" spans="3:4" x14ac:dyDescent="0.25">
      <c r="C502" s="4"/>
      <c r="D502" s="4"/>
    </row>
    <row r="503" spans="3:4" x14ac:dyDescent="0.25">
      <c r="C503" s="4"/>
      <c r="D503" s="4"/>
    </row>
    <row r="504" spans="3:4" x14ac:dyDescent="0.25">
      <c r="C504" s="4"/>
      <c r="D504" s="4"/>
    </row>
    <row r="505" spans="3:4" x14ac:dyDescent="0.25">
      <c r="C505" s="4"/>
      <c r="D505" s="4"/>
    </row>
    <row r="506" spans="3:4" x14ac:dyDescent="0.25">
      <c r="C506" s="4"/>
      <c r="D506" s="4"/>
    </row>
    <row r="507" spans="3:4" x14ac:dyDescent="0.25">
      <c r="C507" s="4"/>
      <c r="D507" s="4"/>
    </row>
    <row r="508" spans="3:4" x14ac:dyDescent="0.25">
      <c r="C508" s="4"/>
      <c r="D508" s="4"/>
    </row>
    <row r="509" spans="3:4" x14ac:dyDescent="0.25">
      <c r="C509" s="4"/>
      <c r="D509" s="4"/>
    </row>
    <row r="510" spans="3:4" x14ac:dyDescent="0.25">
      <c r="C510" s="4"/>
      <c r="D510" s="4"/>
    </row>
    <row r="511" spans="3:4" x14ac:dyDescent="0.25">
      <c r="C511" s="4"/>
      <c r="D511" s="4"/>
    </row>
    <row r="512" spans="3:4" x14ac:dyDescent="0.25">
      <c r="C512" s="4"/>
      <c r="D512" s="4"/>
    </row>
    <row r="513" spans="3:4" x14ac:dyDescent="0.25">
      <c r="C513" s="4"/>
      <c r="D513" s="4"/>
    </row>
    <row r="514" spans="3:4" x14ac:dyDescent="0.25">
      <c r="C514" s="4"/>
      <c r="D514" s="4"/>
    </row>
    <row r="515" spans="3:4" x14ac:dyDescent="0.25">
      <c r="C515" s="4"/>
      <c r="D515" s="4"/>
    </row>
    <row r="516" spans="3:4" x14ac:dyDescent="0.25">
      <c r="C516" s="4"/>
      <c r="D516" s="4"/>
    </row>
    <row r="517" spans="3:4" x14ac:dyDescent="0.25">
      <c r="C517" s="4"/>
      <c r="D517" s="4"/>
    </row>
    <row r="518" spans="3:4" x14ac:dyDescent="0.25">
      <c r="C518" s="4"/>
      <c r="D518" s="4"/>
    </row>
    <row r="519" spans="3:4" x14ac:dyDescent="0.25">
      <c r="C519" s="4"/>
      <c r="D519" s="4"/>
    </row>
    <row r="520" spans="3:4" x14ac:dyDescent="0.25">
      <c r="C520" s="4"/>
      <c r="D520" s="4"/>
    </row>
    <row r="521" spans="3:4" x14ac:dyDescent="0.25">
      <c r="C521" s="4"/>
      <c r="D521" s="4"/>
    </row>
    <row r="522" spans="3:4" x14ac:dyDescent="0.25">
      <c r="C522" s="4"/>
      <c r="D522" s="4"/>
    </row>
    <row r="523" spans="3:4" x14ac:dyDescent="0.25">
      <c r="C523" s="4"/>
      <c r="D523" s="4"/>
    </row>
    <row r="524" spans="3:4" x14ac:dyDescent="0.25">
      <c r="C524" s="4"/>
      <c r="D524" s="4"/>
    </row>
    <row r="525" spans="3:4" x14ac:dyDescent="0.25">
      <c r="C525" s="4"/>
      <c r="D525" s="4"/>
    </row>
    <row r="526" spans="3:4" x14ac:dyDescent="0.25">
      <c r="C526" s="4"/>
      <c r="D526" s="4"/>
    </row>
    <row r="527" spans="3:4" x14ac:dyDescent="0.25">
      <c r="C527" s="4"/>
      <c r="D527" s="4"/>
    </row>
    <row r="528" spans="3:4" x14ac:dyDescent="0.25">
      <c r="C528" s="4"/>
      <c r="D528" s="4"/>
    </row>
    <row r="529" spans="3:4" x14ac:dyDescent="0.25">
      <c r="C529" s="4"/>
      <c r="D529" s="4"/>
    </row>
    <row r="530" spans="3:4" x14ac:dyDescent="0.25">
      <c r="C530" s="4"/>
      <c r="D530" s="4"/>
    </row>
    <row r="531" spans="3:4" x14ac:dyDescent="0.25">
      <c r="C531" s="4"/>
      <c r="D531" s="4"/>
    </row>
    <row r="532" spans="3:4" x14ac:dyDescent="0.25">
      <c r="C532" s="4"/>
      <c r="D532" s="4"/>
    </row>
    <row r="533" spans="3:4" x14ac:dyDescent="0.25">
      <c r="C533" s="4"/>
      <c r="D533" s="4"/>
    </row>
    <row r="534" spans="3:4" x14ac:dyDescent="0.25">
      <c r="C534" s="4"/>
      <c r="D534" s="4"/>
    </row>
    <row r="535" spans="3:4" x14ac:dyDescent="0.25">
      <c r="C535" s="4"/>
      <c r="D535" s="4"/>
    </row>
    <row r="536" spans="3:4" x14ac:dyDescent="0.25">
      <c r="C536" s="4"/>
      <c r="D536" s="4"/>
    </row>
    <row r="537" spans="3:4" x14ac:dyDescent="0.25">
      <c r="C537" s="4"/>
      <c r="D537" s="4"/>
    </row>
    <row r="538" spans="3:4" x14ac:dyDescent="0.25">
      <c r="C538" s="4"/>
      <c r="D538" s="4"/>
    </row>
    <row r="539" spans="3:4" x14ac:dyDescent="0.25">
      <c r="C539" s="4"/>
      <c r="D539" s="4"/>
    </row>
    <row r="540" spans="3:4" x14ac:dyDescent="0.25">
      <c r="C540" s="4"/>
      <c r="D540" s="4"/>
    </row>
    <row r="541" spans="3:4" x14ac:dyDescent="0.25">
      <c r="C541" s="4"/>
      <c r="D541" s="4"/>
    </row>
    <row r="542" spans="3:4" x14ac:dyDescent="0.25">
      <c r="C542" s="4"/>
      <c r="D542" s="4"/>
    </row>
    <row r="543" spans="3:4" x14ac:dyDescent="0.25">
      <c r="C543" s="4"/>
      <c r="D543" s="4"/>
    </row>
    <row r="544" spans="3:4" x14ac:dyDescent="0.25">
      <c r="C544" s="4"/>
      <c r="D544" s="4"/>
    </row>
    <row r="545" spans="3:4" x14ac:dyDescent="0.25">
      <c r="C545" s="4"/>
      <c r="D545" s="4"/>
    </row>
    <row r="546" spans="3:4" x14ac:dyDescent="0.25">
      <c r="C546" s="4"/>
      <c r="D546" s="4"/>
    </row>
    <row r="547" spans="3:4" x14ac:dyDescent="0.25">
      <c r="C547" s="4"/>
      <c r="D547" s="4"/>
    </row>
    <row r="548" spans="3:4" x14ac:dyDescent="0.25">
      <c r="C548" s="4"/>
      <c r="D548" s="4"/>
    </row>
    <row r="549" spans="3:4" x14ac:dyDescent="0.25">
      <c r="C549" s="4"/>
      <c r="D549" s="4"/>
    </row>
    <row r="550" spans="3:4" x14ac:dyDescent="0.25">
      <c r="C550" s="4"/>
      <c r="D550" s="4"/>
    </row>
    <row r="551" spans="3:4" x14ac:dyDescent="0.25">
      <c r="C551" s="4"/>
      <c r="D551" s="4"/>
    </row>
    <row r="552" spans="3:4" x14ac:dyDescent="0.25">
      <c r="C552" s="4"/>
      <c r="D552" s="4"/>
    </row>
    <row r="553" spans="3:4" x14ac:dyDescent="0.25">
      <c r="C553" s="4"/>
      <c r="D553" s="4"/>
    </row>
    <row r="554" spans="3:4" x14ac:dyDescent="0.25">
      <c r="C554" s="4"/>
      <c r="D554" s="4"/>
    </row>
    <row r="555" spans="3:4" x14ac:dyDescent="0.25">
      <c r="C555" s="4"/>
      <c r="D555" s="4"/>
    </row>
    <row r="556" spans="3:4" x14ac:dyDescent="0.25">
      <c r="C556" s="4"/>
      <c r="D556" s="4"/>
    </row>
    <row r="557" spans="3:4" x14ac:dyDescent="0.25">
      <c r="C557" s="4"/>
      <c r="D557" s="4"/>
    </row>
    <row r="558" spans="3:4" x14ac:dyDescent="0.25">
      <c r="C558" s="4"/>
      <c r="D558" s="4"/>
    </row>
    <row r="559" spans="3:4" x14ac:dyDescent="0.25">
      <c r="C559" s="4"/>
      <c r="D559" s="4"/>
    </row>
    <row r="560" spans="3:4" x14ac:dyDescent="0.25">
      <c r="C560" s="4"/>
      <c r="D560" s="4"/>
    </row>
    <row r="561" spans="3:4" x14ac:dyDescent="0.25">
      <c r="C561" s="4"/>
      <c r="D561" s="4"/>
    </row>
    <row r="562" spans="3:4" x14ac:dyDescent="0.25">
      <c r="C562" s="4"/>
      <c r="D562" s="4"/>
    </row>
    <row r="563" spans="3:4" x14ac:dyDescent="0.25">
      <c r="C563" s="4"/>
      <c r="D563" s="4"/>
    </row>
    <row r="564" spans="3:4" x14ac:dyDescent="0.25">
      <c r="C564" s="4"/>
      <c r="D564" s="4"/>
    </row>
    <row r="565" spans="3:4" x14ac:dyDescent="0.25">
      <c r="C565" s="4"/>
      <c r="D565" s="4"/>
    </row>
    <row r="566" spans="3:4" x14ac:dyDescent="0.25">
      <c r="C566" s="4"/>
      <c r="D566" s="4"/>
    </row>
    <row r="567" spans="3:4" x14ac:dyDescent="0.25">
      <c r="C567" s="4"/>
      <c r="D567" s="4"/>
    </row>
    <row r="568" spans="3:4" x14ac:dyDescent="0.25">
      <c r="C568" s="4"/>
      <c r="D568" s="4"/>
    </row>
    <row r="569" spans="3:4" x14ac:dyDescent="0.25">
      <c r="C569" s="4"/>
      <c r="D569" s="4"/>
    </row>
    <row r="570" spans="3:4" x14ac:dyDescent="0.25">
      <c r="C570" s="4"/>
      <c r="D570" s="4"/>
    </row>
    <row r="571" spans="3:4" x14ac:dyDescent="0.25">
      <c r="C571" s="4"/>
      <c r="D571" s="4"/>
    </row>
    <row r="572" spans="3:4" x14ac:dyDescent="0.25">
      <c r="C572" s="4"/>
      <c r="D572" s="4"/>
    </row>
    <row r="573" spans="3:4" x14ac:dyDescent="0.25">
      <c r="C573" s="4"/>
      <c r="D573" s="4"/>
    </row>
    <row r="574" spans="3:4" x14ac:dyDescent="0.25">
      <c r="C574" s="4"/>
      <c r="D574" s="4"/>
    </row>
    <row r="575" spans="3:4" x14ac:dyDescent="0.25">
      <c r="C575" s="4"/>
      <c r="D575" s="4"/>
    </row>
    <row r="576" spans="3:4" x14ac:dyDescent="0.25">
      <c r="C576" s="4"/>
      <c r="D576" s="4"/>
    </row>
    <row r="577" spans="3:4" x14ac:dyDescent="0.25">
      <c r="C577" s="4"/>
      <c r="D577" s="4"/>
    </row>
    <row r="578" spans="3:4" x14ac:dyDescent="0.25">
      <c r="C578" s="4"/>
      <c r="D578" s="4"/>
    </row>
    <row r="579" spans="3:4" x14ac:dyDescent="0.25">
      <c r="C579" s="4"/>
      <c r="D579" s="4"/>
    </row>
    <row r="580" spans="3:4" x14ac:dyDescent="0.25">
      <c r="C580" s="4"/>
      <c r="D580" s="4"/>
    </row>
    <row r="581" spans="3:4" x14ac:dyDescent="0.25">
      <c r="C581" s="4"/>
      <c r="D581" s="4"/>
    </row>
    <row r="582" spans="3:4" x14ac:dyDescent="0.25">
      <c r="C582" s="4"/>
      <c r="D582" s="4"/>
    </row>
    <row r="583" spans="3:4" x14ac:dyDescent="0.25">
      <c r="C583" s="4"/>
      <c r="D583" s="4"/>
    </row>
    <row r="584" spans="3:4" x14ac:dyDescent="0.25">
      <c r="C584" s="4"/>
      <c r="D584" s="4"/>
    </row>
    <row r="585" spans="3:4" x14ac:dyDescent="0.25">
      <c r="C585" s="4"/>
      <c r="D585" s="4"/>
    </row>
    <row r="586" spans="3:4" x14ac:dyDescent="0.25">
      <c r="C586" s="4"/>
      <c r="D586" s="4"/>
    </row>
    <row r="587" spans="3:4" x14ac:dyDescent="0.25">
      <c r="C587" s="4"/>
      <c r="D587" s="4"/>
    </row>
    <row r="588" spans="3:4" x14ac:dyDescent="0.25">
      <c r="C588" s="4"/>
      <c r="D588" s="4"/>
    </row>
    <row r="589" spans="3:4" x14ac:dyDescent="0.25">
      <c r="C589" s="4"/>
      <c r="D589" s="4"/>
    </row>
    <row r="590" spans="3:4" x14ac:dyDescent="0.25">
      <c r="C590" s="4"/>
      <c r="D590" s="4"/>
    </row>
    <row r="591" spans="3:4" x14ac:dyDescent="0.25">
      <c r="C591" s="4"/>
      <c r="D591" s="4"/>
    </row>
    <row r="592" spans="3:4" x14ac:dyDescent="0.25">
      <c r="C592" s="4"/>
      <c r="D592" s="4"/>
    </row>
    <row r="593" spans="3:14" x14ac:dyDescent="0.25">
      <c r="C593" s="4"/>
      <c r="D593" s="4"/>
    </row>
    <row r="594" spans="3:14" x14ac:dyDescent="0.25">
      <c r="C594" s="4"/>
      <c r="D594" s="4"/>
    </row>
    <row r="595" spans="3:14" x14ac:dyDescent="0.25">
      <c r="C595" s="4"/>
      <c r="D595" s="4"/>
    </row>
    <row r="596" spans="3:14" x14ac:dyDescent="0.25">
      <c r="C596" s="4"/>
      <c r="D596" s="4"/>
    </row>
    <row r="597" spans="3:14" x14ac:dyDescent="0.25">
      <c r="C597" s="4"/>
      <c r="D597" s="4"/>
    </row>
    <row r="598" spans="3:14" x14ac:dyDescent="0.25">
      <c r="C598" s="4"/>
      <c r="D598" s="4"/>
    </row>
    <row r="599" spans="3:14" x14ac:dyDescent="0.25">
      <c r="C599" s="4"/>
      <c r="D599" s="4"/>
    </row>
    <row r="600" spans="3:14" x14ac:dyDescent="0.25">
      <c r="C600" s="4"/>
      <c r="D600" s="4"/>
    </row>
    <row r="601" spans="3:14" x14ac:dyDescent="0.25">
      <c r="C601" s="4"/>
      <c r="D601" s="4"/>
    </row>
    <row r="602" spans="3:14" x14ac:dyDescent="0.25">
      <c r="C602" s="4"/>
      <c r="D602" s="4"/>
    </row>
    <row r="603" spans="3:14" x14ac:dyDescent="0.25">
      <c r="C603" s="4"/>
      <c r="D603" s="4"/>
    </row>
    <row r="604" spans="3:14" x14ac:dyDescent="0.25">
      <c r="C604" s="4"/>
      <c r="D604" s="4"/>
    </row>
    <row r="605" spans="3:14" x14ac:dyDescent="0.25">
      <c r="C605" s="4"/>
      <c r="D605" s="4"/>
    </row>
    <row r="606" spans="3:14" x14ac:dyDescent="0.25">
      <c r="C606" s="4"/>
      <c r="D606" s="4"/>
      <c r="N606" s="13"/>
    </row>
    <row r="607" spans="3:14" x14ac:dyDescent="0.25">
      <c r="C607" s="4"/>
      <c r="D607" s="4"/>
      <c r="N607" s="13"/>
    </row>
    <row r="608" spans="3:14" x14ac:dyDescent="0.25">
      <c r="C608" s="4"/>
      <c r="D608" s="4"/>
      <c r="N608" s="13"/>
    </row>
    <row r="609" spans="3:4" x14ac:dyDescent="0.25">
      <c r="C609" s="4"/>
      <c r="D609" s="4"/>
    </row>
    <row r="610" spans="3:4" x14ac:dyDescent="0.25">
      <c r="C610" s="14"/>
      <c r="D610" s="4"/>
    </row>
    <row r="611" spans="3:4" x14ac:dyDescent="0.25">
      <c r="C611" s="14"/>
      <c r="D611" s="4"/>
    </row>
    <row r="612" spans="3:4" x14ac:dyDescent="0.25">
      <c r="C612" s="14"/>
      <c r="D612" s="4"/>
    </row>
    <row r="613" spans="3:4" x14ac:dyDescent="0.25">
      <c r="C613" s="14"/>
      <c r="D613" s="4"/>
    </row>
    <row r="614" spans="3:4" x14ac:dyDescent="0.25">
      <c r="C614" s="14"/>
      <c r="D614" s="4"/>
    </row>
    <row r="615" spans="3:4" x14ac:dyDescent="0.25">
      <c r="C615" s="14"/>
      <c r="D615" s="4"/>
    </row>
    <row r="616" spans="3:4" x14ac:dyDescent="0.25">
      <c r="C616" s="14"/>
      <c r="D616" s="4"/>
    </row>
    <row r="617" spans="3:4" x14ac:dyDescent="0.25">
      <c r="C617" s="14"/>
      <c r="D617" s="4"/>
    </row>
    <row r="618" spans="3:4" x14ac:dyDescent="0.25">
      <c r="C618" s="14"/>
      <c r="D618" s="4"/>
    </row>
    <row r="619" spans="3:4" x14ac:dyDescent="0.25">
      <c r="C619" s="14"/>
      <c r="D619" s="4"/>
    </row>
    <row r="620" spans="3:4" x14ac:dyDescent="0.25">
      <c r="C620" s="14"/>
      <c r="D620" s="4"/>
    </row>
    <row r="621" spans="3:4" x14ac:dyDescent="0.25">
      <c r="C621" s="14"/>
      <c r="D621" s="4"/>
    </row>
    <row r="622" spans="3:4" x14ac:dyDescent="0.25">
      <c r="C622" s="14"/>
      <c r="D622" s="4"/>
    </row>
    <row r="623" spans="3:4" x14ac:dyDescent="0.25">
      <c r="C623" s="14"/>
      <c r="D623" s="4"/>
    </row>
    <row r="624" spans="3:4" x14ac:dyDescent="0.25">
      <c r="C624" s="14"/>
      <c r="D624" s="4"/>
    </row>
    <row r="625" spans="3:5" x14ac:dyDescent="0.25">
      <c r="C625" s="14"/>
      <c r="D625" s="4"/>
    </row>
    <row r="626" spans="3:5" x14ac:dyDescent="0.25">
      <c r="C626" s="14"/>
      <c r="D626" s="4"/>
    </row>
    <row r="627" spans="3:5" x14ac:dyDescent="0.25">
      <c r="C627" s="14"/>
      <c r="D627" s="4"/>
    </row>
    <row r="628" spans="3:5" x14ac:dyDescent="0.25">
      <c r="C628" s="14"/>
      <c r="D628" s="4"/>
    </row>
    <row r="629" spans="3:5" x14ac:dyDescent="0.25">
      <c r="C629" s="14"/>
      <c r="D629" s="4"/>
    </row>
    <row r="630" spans="3:5" x14ac:dyDescent="0.25">
      <c r="C630" s="14"/>
      <c r="D630" s="4"/>
    </row>
    <row r="631" spans="3:5" x14ac:dyDescent="0.25">
      <c r="C631" s="14"/>
      <c r="D631" s="4"/>
    </row>
    <row r="632" spans="3:5" x14ac:dyDescent="0.25">
      <c r="C632" s="14"/>
      <c r="D632" s="4"/>
    </row>
    <row r="633" spans="3:5" x14ac:dyDescent="0.25">
      <c r="C633" s="14"/>
      <c r="D633" s="4"/>
    </row>
    <row r="634" spans="3:5" x14ac:dyDescent="0.25">
      <c r="C634" s="14"/>
      <c r="D634" s="4"/>
    </row>
    <row r="635" spans="3:5" x14ac:dyDescent="0.25">
      <c r="C635" s="14"/>
      <c r="D635" s="4"/>
    </row>
    <row r="636" spans="3:5" x14ac:dyDescent="0.25">
      <c r="C636" s="14"/>
      <c r="D636" s="4"/>
    </row>
    <row r="637" spans="3:5" x14ac:dyDescent="0.25">
      <c r="C637" s="14"/>
      <c r="D637" s="4"/>
    </row>
    <row r="638" spans="3:5" x14ac:dyDescent="0.25">
      <c r="C638" s="14"/>
      <c r="D638" s="4"/>
      <c r="E638"/>
    </row>
    <row r="639" spans="3:5" x14ac:dyDescent="0.25">
      <c r="C639" s="14"/>
      <c r="D639" s="4"/>
      <c r="E639"/>
    </row>
    <row r="640" spans="3:5" x14ac:dyDescent="0.25">
      <c r="C640" s="14"/>
      <c r="D640" s="4"/>
      <c r="E640"/>
    </row>
    <row r="641" spans="3:5" x14ac:dyDescent="0.25">
      <c r="C641" s="14"/>
      <c r="D641" s="4"/>
      <c r="E641"/>
    </row>
    <row r="642" spans="3:5" x14ac:dyDescent="0.25">
      <c r="C642" s="14"/>
      <c r="D642" s="4"/>
      <c r="E642"/>
    </row>
    <row r="643" spans="3:5" x14ac:dyDescent="0.25">
      <c r="C643" s="14"/>
      <c r="D643" s="4"/>
      <c r="E643"/>
    </row>
    <row r="644" spans="3:5" x14ac:dyDescent="0.25">
      <c r="C644" s="14"/>
      <c r="D644" s="4"/>
      <c r="E644"/>
    </row>
    <row r="645" spans="3:5" x14ac:dyDescent="0.25">
      <c r="C645" s="14"/>
      <c r="D645" s="4"/>
      <c r="E645"/>
    </row>
    <row r="646" spans="3:5" x14ac:dyDescent="0.25">
      <c r="C646" s="14"/>
      <c r="D646" s="4"/>
      <c r="E646"/>
    </row>
    <row r="647" spans="3:5" x14ac:dyDescent="0.25">
      <c r="C647" s="14"/>
      <c r="D647" s="4"/>
      <c r="E647"/>
    </row>
    <row r="648" spans="3:5" x14ac:dyDescent="0.25">
      <c r="C648" s="14"/>
      <c r="D648" s="4"/>
      <c r="E648"/>
    </row>
    <row r="649" spans="3:5" x14ac:dyDescent="0.25">
      <c r="C649" s="14"/>
      <c r="D649" s="4"/>
      <c r="E649"/>
    </row>
    <row r="650" spans="3:5" x14ac:dyDescent="0.25">
      <c r="C650" s="14"/>
      <c r="D650" s="4"/>
      <c r="E650"/>
    </row>
    <row r="651" spans="3:5" x14ac:dyDescent="0.25">
      <c r="C651" s="14"/>
      <c r="D651" s="4"/>
      <c r="E651"/>
    </row>
    <row r="652" spans="3:5" x14ac:dyDescent="0.25">
      <c r="C652" s="14"/>
      <c r="D652" s="4"/>
      <c r="E652"/>
    </row>
    <row r="653" spans="3:5" x14ac:dyDescent="0.25">
      <c r="C653" s="14"/>
      <c r="D653" s="4"/>
      <c r="E653"/>
    </row>
    <row r="654" spans="3:5" x14ac:dyDescent="0.25">
      <c r="C654" s="14"/>
      <c r="D654" s="4"/>
      <c r="E654"/>
    </row>
    <row r="655" spans="3:5" x14ac:dyDescent="0.25">
      <c r="C655" s="14"/>
      <c r="D655" s="4"/>
      <c r="E655"/>
    </row>
    <row r="656" spans="3:5" x14ac:dyDescent="0.25">
      <c r="C656" s="14"/>
      <c r="D656" s="4"/>
      <c r="E656"/>
    </row>
    <row r="657" spans="3:12" x14ac:dyDescent="0.25">
      <c r="C657" s="14"/>
      <c r="D657" s="4"/>
      <c r="E657"/>
    </row>
    <row r="658" spans="3:12" x14ac:dyDescent="0.25">
      <c r="C658" s="14"/>
      <c r="D658" s="4"/>
      <c r="E658"/>
    </row>
    <row r="659" spans="3:12" x14ac:dyDescent="0.25">
      <c r="C659" s="14"/>
      <c r="D659" s="4"/>
      <c r="E659"/>
    </row>
    <row r="660" spans="3:12" x14ac:dyDescent="0.25">
      <c r="C660" s="14"/>
      <c r="D660" s="4"/>
      <c r="E660"/>
    </row>
    <row r="661" spans="3:12" x14ac:dyDescent="0.25">
      <c r="C661" s="14"/>
      <c r="D661" s="4"/>
      <c r="E661"/>
    </row>
    <row r="662" spans="3:12" x14ac:dyDescent="0.25">
      <c r="C662" s="14"/>
      <c r="D662" s="4"/>
      <c r="E662"/>
    </row>
    <row r="663" spans="3:12" x14ac:dyDescent="0.25">
      <c r="C663" s="14"/>
      <c r="D663" s="4"/>
      <c r="E663"/>
    </row>
    <row r="664" spans="3:12" x14ac:dyDescent="0.25">
      <c r="C664" s="14"/>
      <c r="D664" s="4"/>
      <c r="E664"/>
    </row>
    <row r="665" spans="3:12" x14ac:dyDescent="0.25">
      <c r="C665" s="14"/>
      <c r="D665" s="4"/>
      <c r="E665"/>
    </row>
    <row r="666" spans="3:12" x14ac:dyDescent="0.25">
      <c r="C666" s="14"/>
      <c r="D666" s="4"/>
      <c r="E666"/>
    </row>
    <row r="667" spans="3:12" x14ac:dyDescent="0.25">
      <c r="C667" s="14"/>
      <c r="D667" s="4"/>
      <c r="E667"/>
    </row>
    <row r="668" spans="3:12" x14ac:dyDescent="0.25">
      <c r="C668" s="14"/>
      <c r="D668" s="4"/>
      <c r="E668"/>
      <c r="L668" s="7"/>
    </row>
    <row r="669" spans="3:12" x14ac:dyDescent="0.25">
      <c r="C669" s="14"/>
      <c r="D669" s="4"/>
      <c r="E669"/>
      <c r="L669" s="7"/>
    </row>
    <row r="670" spans="3:12" x14ac:dyDescent="0.25">
      <c r="C670" s="14"/>
      <c r="D670" s="4"/>
      <c r="E670"/>
      <c r="L670" s="7"/>
    </row>
    <row r="671" spans="3:12" x14ac:dyDescent="0.25">
      <c r="C671" s="14"/>
      <c r="D671" s="4"/>
      <c r="E671"/>
      <c r="L671" s="7"/>
    </row>
    <row r="672" spans="3:12" x14ac:dyDescent="0.25">
      <c r="C672" s="14"/>
      <c r="D672" s="4"/>
      <c r="E672"/>
      <c r="L672" s="7"/>
    </row>
    <row r="673" spans="3:12" x14ac:dyDescent="0.25">
      <c r="C673" s="14"/>
      <c r="D673" s="4"/>
      <c r="E673"/>
      <c r="L673" s="7"/>
    </row>
    <row r="674" spans="3:12" x14ac:dyDescent="0.25">
      <c r="C674" s="14"/>
      <c r="D674" s="4"/>
      <c r="E674"/>
      <c r="L674" s="7"/>
    </row>
    <row r="675" spans="3:12" x14ac:dyDescent="0.25">
      <c r="C675" s="14"/>
      <c r="D675" s="4"/>
      <c r="E675"/>
      <c r="L675" s="7"/>
    </row>
    <row r="676" spans="3:12" x14ac:dyDescent="0.25">
      <c r="C676" s="14"/>
      <c r="D676" s="4"/>
      <c r="E676"/>
      <c r="L676" s="7"/>
    </row>
    <row r="677" spans="3:12" x14ac:dyDescent="0.25">
      <c r="C677" s="14"/>
      <c r="D677" s="4"/>
      <c r="E677"/>
      <c r="L677" s="7"/>
    </row>
    <row r="678" spans="3:12" x14ac:dyDescent="0.25">
      <c r="C678" s="14"/>
      <c r="D678" s="4"/>
      <c r="E678"/>
      <c r="L678" s="7"/>
    </row>
    <row r="679" spans="3:12" x14ac:dyDescent="0.25">
      <c r="C679" s="14"/>
      <c r="D679" s="4"/>
      <c r="E679"/>
      <c r="L679" s="7"/>
    </row>
    <row r="680" spans="3:12" x14ac:dyDescent="0.25">
      <c r="C680" s="14"/>
      <c r="D680" s="4"/>
      <c r="E680"/>
      <c r="L680" s="7"/>
    </row>
    <row r="681" spans="3:12" x14ac:dyDescent="0.25">
      <c r="C681" s="14"/>
      <c r="D681" s="4"/>
      <c r="E681"/>
      <c r="L681" s="7"/>
    </row>
    <row r="682" spans="3:12" x14ac:dyDescent="0.25">
      <c r="C682" s="14"/>
      <c r="D682" s="4"/>
      <c r="E682"/>
      <c r="L682" s="7"/>
    </row>
    <row r="683" spans="3:12" x14ac:dyDescent="0.25">
      <c r="C683" s="14"/>
      <c r="D683" s="4"/>
      <c r="E683"/>
      <c r="L683" s="7"/>
    </row>
    <row r="684" spans="3:12" x14ac:dyDescent="0.25">
      <c r="C684" s="14"/>
      <c r="D684" s="4"/>
      <c r="E684"/>
      <c r="L684" s="7"/>
    </row>
    <row r="685" spans="3:12" x14ac:dyDescent="0.25">
      <c r="C685" s="14"/>
      <c r="D685" s="4"/>
      <c r="E685"/>
      <c r="L685" s="7"/>
    </row>
    <row r="686" spans="3:12" x14ac:dyDescent="0.25">
      <c r="C686" s="14"/>
      <c r="D686" s="4"/>
      <c r="E686"/>
      <c r="L686" s="7"/>
    </row>
    <row r="687" spans="3:12" x14ac:dyDescent="0.25">
      <c r="C687" s="14"/>
      <c r="D687" s="4"/>
      <c r="E687"/>
      <c r="L687" s="7"/>
    </row>
    <row r="688" spans="3:12" x14ac:dyDescent="0.25">
      <c r="C688" s="14"/>
      <c r="D688" s="4"/>
      <c r="E688"/>
      <c r="L688" s="7"/>
    </row>
    <row r="689" spans="3:12" x14ac:dyDescent="0.25">
      <c r="C689" s="14"/>
      <c r="D689" s="4"/>
      <c r="E689"/>
      <c r="L689" s="7"/>
    </row>
    <row r="690" spans="3:12" x14ac:dyDescent="0.25">
      <c r="C690" s="14"/>
      <c r="D690" s="4"/>
      <c r="E690"/>
      <c r="L690" s="7"/>
    </row>
    <row r="691" spans="3:12" x14ac:dyDescent="0.25">
      <c r="C691" s="14"/>
      <c r="D691" s="4"/>
      <c r="E691"/>
      <c r="L691" s="7"/>
    </row>
    <row r="692" spans="3:12" x14ac:dyDescent="0.25">
      <c r="C692" s="14"/>
      <c r="D692" s="4"/>
      <c r="E692"/>
      <c r="L692" s="7"/>
    </row>
    <row r="693" spans="3:12" x14ac:dyDescent="0.25">
      <c r="C693" s="14"/>
      <c r="D693" s="4"/>
      <c r="E693"/>
      <c r="L693" s="7"/>
    </row>
    <row r="694" spans="3:12" x14ac:dyDescent="0.25">
      <c r="C694" s="14"/>
      <c r="D694" s="4"/>
      <c r="E694"/>
      <c r="L694" s="7"/>
    </row>
    <row r="695" spans="3:12" x14ac:dyDescent="0.25">
      <c r="C695" s="14"/>
      <c r="D695" s="4"/>
      <c r="E695"/>
      <c r="L695" s="7"/>
    </row>
    <row r="696" spans="3:12" x14ac:dyDescent="0.25">
      <c r="C696" s="14"/>
      <c r="D696" s="4"/>
      <c r="E696"/>
      <c r="L696" s="7"/>
    </row>
    <row r="697" spans="3:12" x14ac:dyDescent="0.25">
      <c r="C697" s="14"/>
      <c r="D697" s="4"/>
      <c r="E697"/>
      <c r="L697" s="7"/>
    </row>
    <row r="698" spans="3:12" x14ac:dyDescent="0.25">
      <c r="C698" s="14"/>
      <c r="D698" s="4"/>
      <c r="E698"/>
      <c r="L698" s="7"/>
    </row>
    <row r="699" spans="3:12" x14ac:dyDescent="0.25">
      <c r="C699" s="14"/>
      <c r="D699" s="4"/>
      <c r="E699"/>
      <c r="L699" s="7"/>
    </row>
    <row r="700" spans="3:12" x14ac:dyDescent="0.25">
      <c r="C700" s="14"/>
      <c r="D700" s="4"/>
      <c r="E700"/>
      <c r="L700" s="7"/>
    </row>
    <row r="701" spans="3:12" x14ac:dyDescent="0.25">
      <c r="C701" s="14"/>
      <c r="D701" s="4"/>
      <c r="E701"/>
      <c r="L701" s="7"/>
    </row>
    <row r="702" spans="3:12" x14ac:dyDescent="0.25">
      <c r="C702" s="14"/>
      <c r="D702" s="4"/>
      <c r="E702"/>
      <c r="L702" s="7"/>
    </row>
    <row r="703" spans="3:12" x14ac:dyDescent="0.25">
      <c r="C703" s="14"/>
      <c r="D703" s="4"/>
      <c r="E703"/>
      <c r="L703" s="7"/>
    </row>
    <row r="704" spans="3:12" x14ac:dyDescent="0.25">
      <c r="C704" s="14"/>
      <c r="D704" s="4"/>
      <c r="E704"/>
      <c r="L704" s="7"/>
    </row>
    <row r="705" spans="3:12" x14ac:dyDescent="0.25">
      <c r="C705" s="14"/>
      <c r="D705" s="4"/>
      <c r="E705"/>
      <c r="L705" s="7"/>
    </row>
    <row r="706" spans="3:12" x14ac:dyDescent="0.25">
      <c r="C706" s="14"/>
      <c r="D706" s="4"/>
      <c r="E706"/>
      <c r="L706" s="7"/>
    </row>
    <row r="707" spans="3:12" x14ac:dyDescent="0.25">
      <c r="C707" s="14"/>
      <c r="D707" s="4"/>
      <c r="E707"/>
      <c r="L707" s="7"/>
    </row>
    <row r="708" spans="3:12" x14ac:dyDescent="0.25">
      <c r="C708" s="14"/>
      <c r="D708" s="4"/>
      <c r="E708"/>
      <c r="L708" s="7"/>
    </row>
    <row r="709" spans="3:12" x14ac:dyDescent="0.25">
      <c r="C709" s="14"/>
      <c r="D709" s="4"/>
      <c r="E709"/>
      <c r="L709" s="7"/>
    </row>
    <row r="710" spans="3:12" x14ac:dyDescent="0.25">
      <c r="C710" s="14"/>
      <c r="D710" s="4"/>
      <c r="E710"/>
      <c r="L710" s="7"/>
    </row>
    <row r="711" spans="3:12" x14ac:dyDescent="0.25">
      <c r="C711" s="14"/>
      <c r="D711" s="4"/>
      <c r="E711"/>
      <c r="L711" s="7"/>
    </row>
    <row r="712" spans="3:12" x14ac:dyDescent="0.25">
      <c r="C712" s="14"/>
      <c r="D712" s="4"/>
      <c r="E712"/>
      <c r="L712" s="7"/>
    </row>
    <row r="713" spans="3:12" x14ac:dyDescent="0.25">
      <c r="C713" s="14"/>
      <c r="D713" s="4"/>
      <c r="E713"/>
      <c r="L713" s="7"/>
    </row>
    <row r="714" spans="3:12" x14ac:dyDescent="0.25">
      <c r="C714" s="14"/>
      <c r="D714" s="4"/>
      <c r="E714"/>
      <c r="L714" s="7"/>
    </row>
    <row r="715" spans="3:12" x14ac:dyDescent="0.25">
      <c r="C715" s="14"/>
      <c r="D715" s="4"/>
      <c r="E715"/>
      <c r="L715" s="7"/>
    </row>
    <row r="716" spans="3:12" x14ac:dyDescent="0.25">
      <c r="C716" s="14"/>
      <c r="D716" s="4"/>
      <c r="E716"/>
      <c r="L716" s="7"/>
    </row>
    <row r="717" spans="3:12" x14ac:dyDescent="0.25">
      <c r="C717" s="14"/>
      <c r="D717" s="4"/>
      <c r="E717"/>
      <c r="L717" s="7"/>
    </row>
    <row r="718" spans="3:12" x14ac:dyDescent="0.25">
      <c r="C718" s="14"/>
      <c r="D718" s="4"/>
      <c r="E718"/>
      <c r="L718" s="7"/>
    </row>
    <row r="719" spans="3:12" x14ac:dyDescent="0.25">
      <c r="C719" s="14"/>
      <c r="D719" s="4"/>
      <c r="E719"/>
      <c r="L719" s="7"/>
    </row>
    <row r="720" spans="3:12" x14ac:dyDescent="0.25">
      <c r="C720" s="14"/>
      <c r="D720" s="4"/>
      <c r="E720"/>
      <c r="L720" s="7"/>
    </row>
    <row r="721" spans="3:14" x14ac:dyDescent="0.25">
      <c r="C721" s="14"/>
      <c r="D721" s="4"/>
      <c r="E721"/>
      <c r="L721" s="7"/>
    </row>
    <row r="722" spans="3:14" x14ac:dyDescent="0.25">
      <c r="C722" s="14"/>
      <c r="D722" s="4"/>
      <c r="E722"/>
      <c r="L722" s="7"/>
    </row>
    <row r="723" spans="3:14" x14ac:dyDescent="0.25">
      <c r="C723" s="14"/>
      <c r="D723" s="4"/>
      <c r="E723"/>
      <c r="L723" s="7"/>
    </row>
    <row r="724" spans="3:14" x14ac:dyDescent="0.25">
      <c r="C724" s="14"/>
      <c r="D724" s="4"/>
      <c r="E724"/>
      <c r="L724" s="7"/>
    </row>
    <row r="725" spans="3:14" x14ac:dyDescent="0.25">
      <c r="C725" s="14"/>
      <c r="D725" s="4"/>
      <c r="E725"/>
      <c r="L725" s="7"/>
    </row>
    <row r="726" spans="3:14" x14ac:dyDescent="0.25">
      <c r="C726" s="14"/>
      <c r="D726" s="4"/>
      <c r="E726"/>
      <c r="L726" s="7"/>
    </row>
    <row r="727" spans="3:14" x14ac:dyDescent="0.25">
      <c r="C727" s="14"/>
      <c r="D727" s="4"/>
      <c r="E727"/>
      <c r="L727" s="7"/>
    </row>
    <row r="728" spans="3:14" x14ac:dyDescent="0.25">
      <c r="C728" s="14"/>
      <c r="D728" s="4"/>
      <c r="E728"/>
      <c r="L728" s="7"/>
    </row>
    <row r="729" spans="3:14" x14ac:dyDescent="0.25">
      <c r="C729" s="14"/>
      <c r="D729" s="4"/>
      <c r="E729"/>
      <c r="L729" s="7"/>
    </row>
    <row r="730" spans="3:14" x14ac:dyDescent="0.25">
      <c r="C730" s="14"/>
      <c r="D730" s="4"/>
      <c r="E730"/>
      <c r="L730" s="7"/>
    </row>
    <row r="731" spans="3:14" x14ac:dyDescent="0.25">
      <c r="C731" s="14"/>
      <c r="D731" s="4"/>
      <c r="E731"/>
      <c r="L731" s="7"/>
      <c r="N731" s="16"/>
    </row>
    <row r="732" spans="3:14" x14ac:dyDescent="0.25">
      <c r="C732" s="14"/>
      <c r="D732" s="4"/>
      <c r="E732"/>
    </row>
    <row r="733" spans="3:14" x14ac:dyDescent="0.25">
      <c r="C733" s="14"/>
      <c r="D733" s="4"/>
      <c r="E733"/>
    </row>
    <row r="734" spans="3:14" x14ac:dyDescent="0.25">
      <c r="C734" s="14"/>
      <c r="D734" s="4"/>
      <c r="E734"/>
    </row>
    <row r="735" spans="3:14" x14ac:dyDescent="0.25">
      <c r="C735" s="14"/>
      <c r="D735" s="4"/>
      <c r="E735"/>
    </row>
    <row r="736" spans="3:14" x14ac:dyDescent="0.25">
      <c r="C736" s="14"/>
      <c r="D736" s="4"/>
      <c r="E736"/>
    </row>
    <row r="737" spans="3:5" x14ac:dyDescent="0.25">
      <c r="C737" s="14"/>
      <c r="D737" s="4"/>
      <c r="E737"/>
    </row>
    <row r="738" spans="3:5" x14ac:dyDescent="0.25">
      <c r="C738" s="14"/>
      <c r="D738" s="4"/>
      <c r="E738"/>
    </row>
    <row r="739" spans="3:5" x14ac:dyDescent="0.25">
      <c r="C739" s="14"/>
      <c r="D739" s="4"/>
      <c r="E739"/>
    </row>
    <row r="740" spans="3:5" x14ac:dyDescent="0.25">
      <c r="C740" s="14"/>
      <c r="D740" s="4"/>
      <c r="E740"/>
    </row>
    <row r="741" spans="3:5" x14ac:dyDescent="0.25">
      <c r="C741" s="14"/>
      <c r="D741" s="4"/>
      <c r="E741"/>
    </row>
    <row r="742" spans="3:5" x14ac:dyDescent="0.25">
      <c r="C742" s="14"/>
      <c r="D742" s="4"/>
      <c r="E742"/>
    </row>
    <row r="743" spans="3:5" x14ac:dyDescent="0.25">
      <c r="C743" s="14"/>
      <c r="D743" s="4"/>
      <c r="E743"/>
    </row>
    <row r="744" spans="3:5" x14ac:dyDescent="0.25">
      <c r="C744" s="14"/>
      <c r="D744" s="4"/>
      <c r="E744"/>
    </row>
    <row r="745" spans="3:5" x14ac:dyDescent="0.25">
      <c r="C745" s="14"/>
      <c r="D745" s="4"/>
      <c r="E745"/>
    </row>
    <row r="746" spans="3:5" x14ac:dyDescent="0.25">
      <c r="C746" s="14"/>
      <c r="D746" s="4"/>
      <c r="E746"/>
    </row>
    <row r="747" spans="3:5" x14ac:dyDescent="0.25">
      <c r="C747" s="14"/>
      <c r="D747" s="4"/>
      <c r="E747"/>
    </row>
    <row r="748" spans="3:5" x14ac:dyDescent="0.25">
      <c r="C748" s="14"/>
      <c r="D748" s="4"/>
      <c r="E748"/>
    </row>
    <row r="749" spans="3:5" x14ac:dyDescent="0.25">
      <c r="C749" s="14"/>
      <c r="D749" s="4"/>
      <c r="E749"/>
    </row>
    <row r="750" spans="3:5" x14ac:dyDescent="0.25">
      <c r="C750" s="14"/>
      <c r="D750" s="4"/>
      <c r="E750"/>
    </row>
    <row r="751" spans="3:5" x14ac:dyDescent="0.25">
      <c r="C751" s="14"/>
      <c r="D751" s="4"/>
      <c r="E751"/>
    </row>
    <row r="752" spans="3:5" x14ac:dyDescent="0.25">
      <c r="C752" s="14"/>
      <c r="D752" s="4"/>
      <c r="E752"/>
    </row>
    <row r="753" spans="3:5" x14ac:dyDescent="0.25">
      <c r="C753" s="14"/>
      <c r="D753" s="4"/>
      <c r="E753"/>
    </row>
    <row r="754" spans="3:5" x14ac:dyDescent="0.25">
      <c r="C754" s="14"/>
      <c r="D754" s="4"/>
      <c r="E754"/>
    </row>
    <row r="755" spans="3:5" x14ac:dyDescent="0.25">
      <c r="C755" s="14"/>
      <c r="D755" s="4"/>
      <c r="E755"/>
    </row>
    <row r="756" spans="3:5" x14ac:dyDescent="0.25">
      <c r="C756" s="14"/>
      <c r="D756" s="4"/>
      <c r="E756"/>
    </row>
    <row r="757" spans="3:5" x14ac:dyDescent="0.25">
      <c r="C757" s="14"/>
      <c r="D757" s="4"/>
      <c r="E757"/>
    </row>
    <row r="758" spans="3:5" x14ac:dyDescent="0.25">
      <c r="C758" s="14"/>
      <c r="D758" s="4"/>
      <c r="E758"/>
    </row>
    <row r="759" spans="3:5" x14ac:dyDescent="0.25">
      <c r="C759" s="14"/>
      <c r="D759" s="4"/>
      <c r="E759"/>
    </row>
    <row r="760" spans="3:5" x14ac:dyDescent="0.25">
      <c r="C760" s="14"/>
      <c r="D760" s="4"/>
      <c r="E760"/>
    </row>
    <row r="761" spans="3:5" x14ac:dyDescent="0.25">
      <c r="C761" s="14"/>
      <c r="D761" s="4"/>
      <c r="E761"/>
    </row>
    <row r="762" spans="3:5" x14ac:dyDescent="0.25">
      <c r="C762" s="14"/>
      <c r="D762" s="4"/>
      <c r="E762"/>
    </row>
    <row r="763" spans="3:5" x14ac:dyDescent="0.25">
      <c r="C763" s="14"/>
      <c r="D763" s="4"/>
      <c r="E763"/>
    </row>
    <row r="764" spans="3:5" x14ac:dyDescent="0.25">
      <c r="C764" s="14"/>
      <c r="D764" s="4"/>
      <c r="E764"/>
    </row>
    <row r="765" spans="3:5" x14ac:dyDescent="0.25">
      <c r="C765" s="14"/>
      <c r="D765" s="4"/>
      <c r="E765"/>
    </row>
    <row r="766" spans="3:5" x14ac:dyDescent="0.25">
      <c r="C766" s="14"/>
      <c r="D766" s="4"/>
      <c r="E766"/>
    </row>
    <row r="767" spans="3:5" x14ac:dyDescent="0.25">
      <c r="C767" s="14"/>
      <c r="D767" s="4"/>
      <c r="E767"/>
    </row>
    <row r="768" spans="3:5" x14ac:dyDescent="0.25">
      <c r="C768" s="14"/>
      <c r="D768" s="4"/>
      <c r="E768"/>
    </row>
    <row r="769" spans="3:5" x14ac:dyDescent="0.25">
      <c r="C769" s="14"/>
      <c r="D769" s="4"/>
      <c r="E769"/>
    </row>
    <row r="770" spans="3:5" x14ac:dyDescent="0.25">
      <c r="C770" s="14"/>
      <c r="D770" s="4"/>
      <c r="E770"/>
    </row>
    <row r="771" spans="3:5" x14ac:dyDescent="0.25">
      <c r="C771" s="14"/>
      <c r="D771" s="4"/>
      <c r="E771"/>
    </row>
    <row r="772" spans="3:5" x14ac:dyDescent="0.25">
      <c r="C772" s="14"/>
      <c r="D772" s="4"/>
      <c r="E772"/>
    </row>
    <row r="773" spans="3:5" x14ac:dyDescent="0.25">
      <c r="C773" s="14"/>
      <c r="D773" s="4"/>
      <c r="E773"/>
    </row>
    <row r="774" spans="3:5" x14ac:dyDescent="0.25">
      <c r="C774" s="14"/>
      <c r="D774" s="4"/>
      <c r="E774"/>
    </row>
    <row r="775" spans="3:5" x14ac:dyDescent="0.25">
      <c r="C775" s="14"/>
      <c r="D775" s="4"/>
      <c r="E775"/>
    </row>
    <row r="776" spans="3:5" x14ac:dyDescent="0.25">
      <c r="C776" s="14"/>
      <c r="D776" s="4"/>
      <c r="E776"/>
    </row>
    <row r="777" spans="3:5" x14ac:dyDescent="0.25">
      <c r="C777" s="14"/>
      <c r="D777" s="4"/>
      <c r="E777"/>
    </row>
    <row r="778" spans="3:5" x14ac:dyDescent="0.25">
      <c r="C778" s="14"/>
      <c r="D778" s="4"/>
      <c r="E778"/>
    </row>
    <row r="779" spans="3:5" x14ac:dyDescent="0.25">
      <c r="C779" s="14"/>
      <c r="D779" s="4"/>
      <c r="E779"/>
    </row>
    <row r="780" spans="3:5" x14ac:dyDescent="0.25">
      <c r="C780" s="14"/>
      <c r="D780" s="4"/>
      <c r="E780"/>
    </row>
    <row r="781" spans="3:5" x14ac:dyDescent="0.25">
      <c r="C781" s="14"/>
      <c r="D781" s="4"/>
      <c r="E781"/>
    </row>
    <row r="782" spans="3:5" x14ac:dyDescent="0.25">
      <c r="C782" s="14"/>
      <c r="D782" s="4"/>
      <c r="E782"/>
    </row>
    <row r="783" spans="3:5" x14ac:dyDescent="0.25">
      <c r="C783" s="14"/>
      <c r="D783" s="4"/>
      <c r="E783"/>
    </row>
    <row r="784" spans="3:5" x14ac:dyDescent="0.25">
      <c r="C784" s="14"/>
      <c r="D784" s="4"/>
      <c r="E784"/>
    </row>
    <row r="785" spans="3:5" x14ac:dyDescent="0.25">
      <c r="C785" s="14"/>
      <c r="D785" s="4"/>
      <c r="E785"/>
    </row>
    <row r="786" spans="3:5" x14ac:dyDescent="0.25">
      <c r="C786" s="14"/>
      <c r="D786" s="4"/>
      <c r="E786"/>
    </row>
    <row r="787" spans="3:5" x14ac:dyDescent="0.25">
      <c r="C787" s="14"/>
      <c r="D787" s="4"/>
      <c r="E787"/>
    </row>
    <row r="788" spans="3:5" x14ac:dyDescent="0.25">
      <c r="C788" s="14"/>
      <c r="D788" s="4"/>
      <c r="E788"/>
    </row>
    <row r="789" spans="3:5" x14ac:dyDescent="0.25">
      <c r="C789" s="14"/>
      <c r="D789" s="4"/>
      <c r="E789"/>
    </row>
    <row r="790" spans="3:5" x14ac:dyDescent="0.25">
      <c r="C790" s="14"/>
      <c r="D790" s="4"/>
      <c r="E790"/>
    </row>
    <row r="791" spans="3:5" x14ac:dyDescent="0.25">
      <c r="C791" s="14"/>
      <c r="D791" s="4"/>
      <c r="E791"/>
    </row>
    <row r="792" spans="3:5" x14ac:dyDescent="0.25">
      <c r="C792" s="14"/>
      <c r="D792" s="4"/>
      <c r="E792"/>
    </row>
    <row r="793" spans="3:5" x14ac:dyDescent="0.25">
      <c r="C793" s="14"/>
      <c r="D793" s="4"/>
      <c r="E793"/>
    </row>
    <row r="794" spans="3:5" x14ac:dyDescent="0.25">
      <c r="C794" s="14"/>
      <c r="D794" s="4"/>
      <c r="E794"/>
    </row>
    <row r="795" spans="3:5" x14ac:dyDescent="0.25">
      <c r="C795" s="14"/>
      <c r="D795" s="4"/>
      <c r="E795"/>
    </row>
    <row r="796" spans="3:5" x14ac:dyDescent="0.25">
      <c r="C796" s="14"/>
      <c r="D796" s="4"/>
      <c r="E796"/>
    </row>
    <row r="797" spans="3:5" x14ac:dyDescent="0.25">
      <c r="C797" s="14"/>
      <c r="D797" s="4"/>
      <c r="E797"/>
    </row>
    <row r="798" spans="3:5" x14ac:dyDescent="0.25">
      <c r="C798" s="14"/>
      <c r="D798" s="4"/>
      <c r="E798"/>
    </row>
    <row r="799" spans="3:5" x14ac:dyDescent="0.25">
      <c r="C799" s="14"/>
      <c r="D799" s="4"/>
      <c r="E799"/>
    </row>
    <row r="800" spans="3:5" x14ac:dyDescent="0.25">
      <c r="C800" s="14"/>
      <c r="D800" s="4"/>
      <c r="E800"/>
    </row>
    <row r="801" spans="3:5" x14ac:dyDescent="0.25">
      <c r="C801" s="14"/>
      <c r="D801" s="4"/>
      <c r="E801"/>
    </row>
    <row r="802" spans="3:5" x14ac:dyDescent="0.25">
      <c r="C802" s="14"/>
      <c r="D802" s="4"/>
      <c r="E802"/>
    </row>
    <row r="803" spans="3:5" x14ac:dyDescent="0.25">
      <c r="C803" s="14"/>
      <c r="D803" s="4"/>
      <c r="E803"/>
    </row>
    <row r="804" spans="3:5" x14ac:dyDescent="0.25">
      <c r="C804" s="14"/>
      <c r="D804" s="4"/>
      <c r="E804"/>
    </row>
    <row r="805" spans="3:5" x14ac:dyDescent="0.25">
      <c r="C805" s="14"/>
      <c r="D805" s="4"/>
      <c r="E805"/>
    </row>
    <row r="806" spans="3:5" x14ac:dyDescent="0.25">
      <c r="C806" s="14"/>
      <c r="D806" s="4"/>
      <c r="E806"/>
    </row>
    <row r="807" spans="3:5" x14ac:dyDescent="0.25">
      <c r="C807" s="14"/>
      <c r="D807" s="4"/>
      <c r="E807"/>
    </row>
    <row r="808" spans="3:5" x14ac:dyDescent="0.25">
      <c r="C808" s="14"/>
      <c r="D808" s="4"/>
      <c r="E808"/>
    </row>
    <row r="809" spans="3:5" x14ac:dyDescent="0.25">
      <c r="C809" s="14"/>
      <c r="D809" s="4"/>
      <c r="E809"/>
    </row>
    <row r="810" spans="3:5" x14ac:dyDescent="0.25">
      <c r="C810" s="14"/>
      <c r="D810" s="4"/>
      <c r="E810"/>
    </row>
    <row r="811" spans="3:5" x14ac:dyDescent="0.25">
      <c r="C811" s="14"/>
      <c r="D811" s="4"/>
      <c r="E811"/>
    </row>
    <row r="812" spans="3:5" x14ac:dyDescent="0.25">
      <c r="C812" s="14"/>
      <c r="D812" s="4"/>
      <c r="E812"/>
    </row>
    <row r="813" spans="3:5" x14ac:dyDescent="0.25">
      <c r="C813" s="14"/>
      <c r="D813" s="4"/>
      <c r="E813"/>
    </row>
    <row r="814" spans="3:5" x14ac:dyDescent="0.25">
      <c r="C814" s="14"/>
      <c r="D814" s="4"/>
      <c r="E814"/>
    </row>
    <row r="815" spans="3:5" x14ac:dyDescent="0.25">
      <c r="C815" s="14"/>
      <c r="D815" s="4"/>
      <c r="E815"/>
    </row>
    <row r="816" spans="3:5" x14ac:dyDescent="0.25">
      <c r="C816" s="14"/>
      <c r="D816" s="4"/>
      <c r="E816"/>
    </row>
    <row r="817" spans="2:5" x14ac:dyDescent="0.25">
      <c r="C817" s="14"/>
      <c r="D817" s="4"/>
      <c r="E817"/>
    </row>
    <row r="818" spans="2:5" x14ac:dyDescent="0.25">
      <c r="B818"/>
      <c r="C818" s="14"/>
      <c r="D818" s="4"/>
      <c r="E818"/>
    </row>
    <row r="819" spans="2:5" x14ac:dyDescent="0.25">
      <c r="B819"/>
      <c r="C819" s="14"/>
      <c r="D819" s="4"/>
      <c r="E819"/>
    </row>
    <row r="820" spans="2:5" x14ac:dyDescent="0.25">
      <c r="B820"/>
      <c r="C820" s="14"/>
      <c r="D820" s="4"/>
      <c r="E820"/>
    </row>
    <row r="821" spans="2:5" x14ac:dyDescent="0.25">
      <c r="B821"/>
      <c r="C821" s="14"/>
      <c r="D821" s="4"/>
      <c r="E821"/>
    </row>
    <row r="822" spans="2:5" x14ac:dyDescent="0.25">
      <c r="B822"/>
      <c r="C822" s="14"/>
      <c r="D822" s="4"/>
      <c r="E822"/>
    </row>
    <row r="823" spans="2:5" x14ac:dyDescent="0.25">
      <c r="B823"/>
      <c r="C823" s="14"/>
      <c r="D823" s="4"/>
      <c r="E823"/>
    </row>
    <row r="824" spans="2:5" x14ac:dyDescent="0.25">
      <c r="B824"/>
      <c r="C824" s="14"/>
      <c r="D824" s="4"/>
      <c r="E824"/>
    </row>
    <row r="825" spans="2:5" x14ac:dyDescent="0.25">
      <c r="B825"/>
      <c r="C825" s="14"/>
      <c r="D825" s="4"/>
      <c r="E825"/>
    </row>
    <row r="826" spans="2:5" x14ac:dyDescent="0.25">
      <c r="B826"/>
      <c r="C826" s="14"/>
      <c r="D826" s="4"/>
      <c r="E826"/>
    </row>
    <row r="827" spans="2:5" x14ac:dyDescent="0.25">
      <c r="B827"/>
      <c r="C827" s="14"/>
      <c r="D827" s="4"/>
      <c r="E827"/>
    </row>
    <row r="828" spans="2:5" x14ac:dyDescent="0.25">
      <c r="B828"/>
      <c r="C828" s="14"/>
      <c r="D828" s="4"/>
      <c r="E828"/>
    </row>
    <row r="829" spans="2:5" x14ac:dyDescent="0.25">
      <c r="B829"/>
      <c r="C829" s="14"/>
      <c r="D829" s="4"/>
      <c r="E829"/>
    </row>
    <row r="830" spans="2:5" x14ac:dyDescent="0.25">
      <c r="B830"/>
      <c r="C830" s="14"/>
      <c r="D830" s="4"/>
      <c r="E830"/>
    </row>
    <row r="831" spans="2:5" x14ac:dyDescent="0.25">
      <c r="B831"/>
      <c r="C831" s="14"/>
      <c r="D831" s="4"/>
      <c r="E831"/>
    </row>
    <row r="832" spans="2:5" x14ac:dyDescent="0.25">
      <c r="B832"/>
      <c r="C832" s="14"/>
      <c r="D832" s="4"/>
      <c r="E832"/>
    </row>
    <row r="833" spans="2:5" x14ac:dyDescent="0.25">
      <c r="B833"/>
      <c r="C833" s="14"/>
      <c r="D833" s="4"/>
      <c r="E833"/>
    </row>
    <row r="834" spans="2:5" x14ac:dyDescent="0.25">
      <c r="B834"/>
      <c r="C834" s="14"/>
      <c r="D834" s="4"/>
      <c r="E834"/>
    </row>
    <row r="835" spans="2:5" x14ac:dyDescent="0.25">
      <c r="B835"/>
      <c r="C835" s="14"/>
      <c r="D835" s="4"/>
      <c r="E835"/>
    </row>
    <row r="836" spans="2:5" x14ac:dyDescent="0.25">
      <c r="B836"/>
      <c r="C836" s="14"/>
      <c r="D836" s="4"/>
      <c r="E836"/>
    </row>
    <row r="837" spans="2:5" x14ac:dyDescent="0.25">
      <c r="B837"/>
      <c r="C837" s="14"/>
      <c r="D837" s="4"/>
      <c r="E837"/>
    </row>
    <row r="838" spans="2:5" x14ac:dyDescent="0.25">
      <c r="B838"/>
      <c r="C838" s="14"/>
      <c r="D838" s="4"/>
      <c r="E838"/>
    </row>
    <row r="839" spans="2:5" x14ac:dyDescent="0.25">
      <c r="B839"/>
      <c r="C839" s="14"/>
      <c r="D839" s="4"/>
      <c r="E839"/>
    </row>
    <row r="840" spans="2:5" x14ac:dyDescent="0.25">
      <c r="B840"/>
      <c r="C840" s="14"/>
      <c r="D840" s="4"/>
      <c r="E840"/>
    </row>
    <row r="841" spans="2:5" x14ac:dyDescent="0.25">
      <c r="B841"/>
      <c r="C841" s="14"/>
      <c r="D841" s="4"/>
      <c r="E841"/>
    </row>
    <row r="842" spans="2:5" x14ac:dyDescent="0.25">
      <c r="B842"/>
      <c r="C842" s="14"/>
      <c r="D842" s="4"/>
      <c r="E842"/>
    </row>
    <row r="843" spans="2:5" x14ac:dyDescent="0.25">
      <c r="B843"/>
      <c r="C843" s="14"/>
      <c r="D843" s="4"/>
      <c r="E843"/>
    </row>
    <row r="844" spans="2:5" x14ac:dyDescent="0.25">
      <c r="B844"/>
      <c r="C844" s="14"/>
      <c r="D844" s="4"/>
      <c r="E844"/>
    </row>
    <row r="845" spans="2:5" x14ac:dyDescent="0.25">
      <c r="B845"/>
      <c r="C845" s="14"/>
      <c r="D845" s="4"/>
      <c r="E845"/>
    </row>
    <row r="846" spans="2:5" x14ac:dyDescent="0.25">
      <c r="B846"/>
      <c r="C846" s="14"/>
      <c r="D846" s="4"/>
      <c r="E846"/>
    </row>
    <row r="847" spans="2:5" x14ac:dyDescent="0.25">
      <c r="B847"/>
      <c r="C847" s="14"/>
      <c r="D847" s="4"/>
      <c r="E847"/>
    </row>
    <row r="848" spans="2:5" x14ac:dyDescent="0.25">
      <c r="B848"/>
      <c r="C848" s="14"/>
      <c r="D848" s="4"/>
      <c r="E848"/>
    </row>
    <row r="849" spans="2:5" x14ac:dyDescent="0.25">
      <c r="B849"/>
      <c r="C849" s="14"/>
      <c r="D849" s="4"/>
      <c r="E849"/>
    </row>
    <row r="850" spans="2:5" x14ac:dyDescent="0.25">
      <c r="B850"/>
      <c r="C850" s="14"/>
      <c r="D850" s="4"/>
      <c r="E850"/>
    </row>
    <row r="851" spans="2:5" x14ac:dyDescent="0.25">
      <c r="B851"/>
      <c r="C851" s="14"/>
      <c r="D851" s="4"/>
      <c r="E851"/>
    </row>
    <row r="852" spans="2:5" x14ac:dyDescent="0.25">
      <c r="B852"/>
      <c r="C852" s="14"/>
      <c r="D852" s="4"/>
      <c r="E852"/>
    </row>
    <row r="853" spans="2:5" x14ac:dyDescent="0.25">
      <c r="B853"/>
      <c r="C853" s="14"/>
      <c r="D853" s="4"/>
      <c r="E853"/>
    </row>
    <row r="854" spans="2:5" x14ac:dyDescent="0.25">
      <c r="B854"/>
      <c r="C854" s="14"/>
      <c r="D854" s="4"/>
      <c r="E854"/>
    </row>
    <row r="855" spans="2:5" x14ac:dyDescent="0.25">
      <c r="B855"/>
      <c r="C855" s="14"/>
      <c r="D855" s="4"/>
      <c r="E855"/>
    </row>
    <row r="856" spans="2:5" x14ac:dyDescent="0.25">
      <c r="B856"/>
      <c r="C856" s="14"/>
      <c r="D856" s="4"/>
      <c r="E856"/>
    </row>
    <row r="857" spans="2:5" x14ac:dyDescent="0.25">
      <c r="B857"/>
      <c r="C857" s="14"/>
      <c r="D857" s="4"/>
      <c r="E857"/>
    </row>
    <row r="858" spans="2:5" x14ac:dyDescent="0.25">
      <c r="B858"/>
      <c r="C858" s="14"/>
      <c r="D858" s="4"/>
      <c r="E858"/>
    </row>
    <row r="859" spans="2:5" x14ac:dyDescent="0.25">
      <c r="B859"/>
      <c r="C859" s="14"/>
      <c r="D859" s="4"/>
      <c r="E859"/>
    </row>
    <row r="860" spans="2:5" x14ac:dyDescent="0.25">
      <c r="B860"/>
      <c r="C860" s="14"/>
      <c r="D860" s="4"/>
      <c r="E860"/>
    </row>
    <row r="861" spans="2:5" x14ac:dyDescent="0.25">
      <c r="B861"/>
      <c r="C861" s="14"/>
      <c r="D861" s="4"/>
      <c r="E861"/>
    </row>
    <row r="862" spans="2:5" x14ac:dyDescent="0.25">
      <c r="B862"/>
      <c r="C862" s="14"/>
      <c r="D862" s="4"/>
      <c r="E862"/>
    </row>
    <row r="863" spans="2:5" x14ac:dyDescent="0.25">
      <c r="B863"/>
      <c r="C863" s="14"/>
      <c r="D863" s="4"/>
      <c r="E863"/>
    </row>
    <row r="864" spans="2:5" x14ac:dyDescent="0.25">
      <c r="B864"/>
      <c r="C864" s="14"/>
      <c r="D864" s="4"/>
      <c r="E864"/>
    </row>
    <row r="865" spans="2:5" x14ac:dyDescent="0.25">
      <c r="B865"/>
      <c r="C865" s="14"/>
      <c r="D865" s="4"/>
      <c r="E865"/>
    </row>
    <row r="866" spans="2:5" x14ac:dyDescent="0.25">
      <c r="B866"/>
      <c r="C866" s="14"/>
      <c r="D866" s="4"/>
      <c r="E866"/>
    </row>
    <row r="867" spans="2:5" x14ac:dyDescent="0.25">
      <c r="B867"/>
      <c r="C867" s="14"/>
      <c r="D867" s="4"/>
      <c r="E867"/>
    </row>
    <row r="868" spans="2:5" x14ac:dyDescent="0.25">
      <c r="B868"/>
      <c r="C868" s="14"/>
      <c r="D868" s="4"/>
      <c r="E868"/>
    </row>
    <row r="869" spans="2:5" x14ac:dyDescent="0.25">
      <c r="B869"/>
      <c r="C869" s="14"/>
      <c r="D869" s="4"/>
      <c r="E869"/>
    </row>
    <row r="870" spans="2:5" x14ac:dyDescent="0.25">
      <c r="B870"/>
      <c r="C870" s="14"/>
      <c r="D870" s="4"/>
      <c r="E870"/>
    </row>
    <row r="871" spans="2:5" x14ac:dyDescent="0.25">
      <c r="B871"/>
      <c r="C871" s="14"/>
      <c r="D871" s="4"/>
      <c r="E871"/>
    </row>
    <row r="872" spans="2:5" x14ac:dyDescent="0.25">
      <c r="B872"/>
      <c r="C872" s="14"/>
      <c r="D872" s="4"/>
      <c r="E872"/>
    </row>
    <row r="873" spans="2:5" x14ac:dyDescent="0.25">
      <c r="B873"/>
      <c r="C873" s="14"/>
      <c r="D873" s="4"/>
      <c r="E873"/>
    </row>
    <row r="874" spans="2:5" x14ac:dyDescent="0.25">
      <c r="B874"/>
      <c r="C874" s="14"/>
      <c r="D874" s="4"/>
      <c r="E874"/>
    </row>
    <row r="875" spans="2:5" x14ac:dyDescent="0.25">
      <c r="B875"/>
      <c r="C875" s="14"/>
      <c r="D875" s="4"/>
      <c r="E875"/>
    </row>
    <row r="876" spans="2:5" x14ac:dyDescent="0.25">
      <c r="B876"/>
      <c r="C876" s="14"/>
      <c r="D876" s="4"/>
      <c r="E876"/>
    </row>
    <row r="877" spans="2:5" x14ac:dyDescent="0.25">
      <c r="B877"/>
      <c r="C877" s="14"/>
      <c r="D877" s="4"/>
      <c r="E877"/>
    </row>
    <row r="878" spans="2:5" x14ac:dyDescent="0.25">
      <c r="B878"/>
      <c r="C878" s="14"/>
      <c r="D878" s="4"/>
      <c r="E878"/>
    </row>
    <row r="879" spans="2:5" x14ac:dyDescent="0.25">
      <c r="B879"/>
      <c r="C879" s="14"/>
      <c r="D879" s="4"/>
      <c r="E879"/>
    </row>
    <row r="880" spans="2:5" x14ac:dyDescent="0.25">
      <c r="B880"/>
      <c r="C880" s="14"/>
      <c r="D880" s="4"/>
      <c r="E880"/>
    </row>
    <row r="881" spans="2:5" x14ac:dyDescent="0.25">
      <c r="B881"/>
      <c r="C881" s="14"/>
      <c r="D881" s="4"/>
      <c r="E881"/>
    </row>
    <row r="882" spans="2:5" x14ac:dyDescent="0.25">
      <c r="B882"/>
      <c r="C882" s="14"/>
      <c r="D882" s="4"/>
      <c r="E882"/>
    </row>
    <row r="883" spans="2:5" x14ac:dyDescent="0.25">
      <c r="B883"/>
      <c r="C883" s="14"/>
      <c r="D883" s="4"/>
      <c r="E883"/>
    </row>
    <row r="884" spans="2:5" x14ac:dyDescent="0.25">
      <c r="B884"/>
      <c r="C884" s="14"/>
      <c r="D884" s="4"/>
      <c r="E884"/>
    </row>
    <row r="885" spans="2:5" x14ac:dyDescent="0.25">
      <c r="B885"/>
      <c r="C885" s="14"/>
      <c r="D885" s="4"/>
      <c r="E885"/>
    </row>
    <row r="886" spans="2:5" x14ac:dyDescent="0.25">
      <c r="B886"/>
      <c r="C886" s="14"/>
      <c r="D886" s="4"/>
      <c r="E886"/>
    </row>
    <row r="887" spans="2:5" x14ac:dyDescent="0.25">
      <c r="B887"/>
      <c r="C887" s="14"/>
      <c r="D887" s="4"/>
      <c r="E887"/>
    </row>
    <row r="888" spans="2:5" x14ac:dyDescent="0.25">
      <c r="B888"/>
      <c r="C888" s="14"/>
      <c r="D888" s="4"/>
      <c r="E888"/>
    </row>
    <row r="889" spans="2:5" x14ac:dyDescent="0.25">
      <c r="B889"/>
      <c r="C889" s="14"/>
      <c r="D889" s="4"/>
      <c r="E889"/>
    </row>
    <row r="890" spans="2:5" x14ac:dyDescent="0.25">
      <c r="B890"/>
      <c r="C890" s="14"/>
      <c r="D890" s="4"/>
      <c r="E890"/>
    </row>
    <row r="891" spans="2:5" x14ac:dyDescent="0.25">
      <c r="B891"/>
      <c r="C891" s="14"/>
      <c r="D891" s="4"/>
      <c r="E891"/>
    </row>
    <row r="892" spans="2:5" x14ac:dyDescent="0.25">
      <c r="B892"/>
      <c r="C892" s="14"/>
      <c r="D892" s="4"/>
      <c r="E892"/>
    </row>
    <row r="893" spans="2:5" x14ac:dyDescent="0.25">
      <c r="B893"/>
      <c r="C893" s="14"/>
      <c r="D893" s="4"/>
      <c r="E893"/>
    </row>
    <row r="894" spans="2:5" x14ac:dyDescent="0.25">
      <c r="B894"/>
      <c r="C894" s="14"/>
      <c r="D894" s="4"/>
      <c r="E894"/>
    </row>
    <row r="895" spans="2:5" x14ac:dyDescent="0.25">
      <c r="B895"/>
      <c r="C895" s="14"/>
      <c r="D895" s="4"/>
      <c r="E895"/>
    </row>
    <row r="896" spans="2:5" x14ac:dyDescent="0.25">
      <c r="B896"/>
      <c r="C896" s="14"/>
      <c r="D896" s="4"/>
      <c r="E896"/>
    </row>
    <row r="897" spans="2:5" x14ac:dyDescent="0.25">
      <c r="B897"/>
      <c r="C897" s="14"/>
      <c r="D897" s="4"/>
      <c r="E897"/>
    </row>
    <row r="898" spans="2:5" x14ac:dyDescent="0.25">
      <c r="B898"/>
      <c r="C898" s="14"/>
      <c r="D898" s="4"/>
      <c r="E898"/>
    </row>
    <row r="899" spans="2:5" x14ac:dyDescent="0.25">
      <c r="B899"/>
      <c r="C899" s="14"/>
      <c r="D899" s="4"/>
      <c r="E899"/>
    </row>
    <row r="900" spans="2:5" x14ac:dyDescent="0.25">
      <c r="B900"/>
      <c r="C900" s="14"/>
      <c r="D900" s="4"/>
      <c r="E900"/>
    </row>
    <row r="901" spans="2:5" x14ac:dyDescent="0.25">
      <c r="B901"/>
      <c r="C901" s="14"/>
      <c r="D901" s="4"/>
      <c r="E901"/>
    </row>
    <row r="902" spans="2:5" x14ac:dyDescent="0.25">
      <c r="B902"/>
      <c r="C902" s="14"/>
      <c r="D902" s="4"/>
      <c r="E902"/>
    </row>
    <row r="903" spans="2:5" x14ac:dyDescent="0.25">
      <c r="B903"/>
      <c r="C903" s="14"/>
      <c r="D903" s="4"/>
      <c r="E903"/>
    </row>
    <row r="904" spans="2:5" x14ac:dyDescent="0.25">
      <c r="B904"/>
      <c r="C904" s="14"/>
      <c r="D904" s="4"/>
      <c r="E904"/>
    </row>
    <row r="905" spans="2:5" x14ac:dyDescent="0.25">
      <c r="B905"/>
      <c r="C905" s="14"/>
      <c r="D905" s="4"/>
      <c r="E905"/>
    </row>
    <row r="906" spans="2:5" x14ac:dyDescent="0.25">
      <c r="B906"/>
      <c r="C906" s="14"/>
      <c r="D906" s="4"/>
      <c r="E906"/>
    </row>
    <row r="907" spans="2:5" x14ac:dyDescent="0.25">
      <c r="B907"/>
      <c r="C907" s="14"/>
      <c r="D907" s="4"/>
      <c r="E907"/>
    </row>
    <row r="908" spans="2:5" x14ac:dyDescent="0.25">
      <c r="B908"/>
      <c r="C908" s="14"/>
      <c r="D908" s="4"/>
      <c r="E908"/>
    </row>
    <row r="909" spans="2:5" x14ac:dyDescent="0.25">
      <c r="B909"/>
      <c r="C909" s="14"/>
      <c r="D909" s="4"/>
      <c r="E909"/>
    </row>
    <row r="910" spans="2:5" x14ac:dyDescent="0.25">
      <c r="B910"/>
      <c r="C910" s="14"/>
      <c r="D910" s="4"/>
      <c r="E910"/>
    </row>
    <row r="911" spans="2:5" x14ac:dyDescent="0.25">
      <c r="B911"/>
      <c r="C911" s="14"/>
      <c r="D911" s="4"/>
      <c r="E911"/>
    </row>
    <row r="912" spans="2:5" x14ac:dyDescent="0.25">
      <c r="B912"/>
      <c r="C912" s="14"/>
      <c r="D912" s="4"/>
      <c r="E912"/>
    </row>
    <row r="913" spans="2:5" x14ac:dyDescent="0.25">
      <c r="B913"/>
      <c r="C913" s="14"/>
      <c r="D913" s="4"/>
      <c r="E913"/>
    </row>
    <row r="914" spans="2:5" x14ac:dyDescent="0.25">
      <c r="B914"/>
      <c r="C914" s="14"/>
      <c r="D914" s="4"/>
      <c r="E914"/>
    </row>
    <row r="915" spans="2:5" x14ac:dyDescent="0.25">
      <c r="B915"/>
      <c r="C915" s="14"/>
      <c r="D915" s="4"/>
      <c r="E915"/>
    </row>
    <row r="916" spans="2:5" x14ac:dyDescent="0.25">
      <c r="B916"/>
      <c r="C916" s="14"/>
      <c r="D916" s="4"/>
      <c r="E916"/>
    </row>
    <row r="917" spans="2:5" x14ac:dyDescent="0.25">
      <c r="B917"/>
      <c r="C917" s="14"/>
      <c r="D917" s="4"/>
      <c r="E917"/>
    </row>
    <row r="918" spans="2:5" x14ac:dyDescent="0.25">
      <c r="B918"/>
      <c r="C918" s="14"/>
      <c r="D918" s="4"/>
      <c r="E918"/>
    </row>
    <row r="919" spans="2:5" x14ac:dyDescent="0.25">
      <c r="B919"/>
      <c r="C919" s="14"/>
      <c r="D919" s="4"/>
      <c r="E919"/>
    </row>
    <row r="920" spans="2:5" x14ac:dyDescent="0.25">
      <c r="B920"/>
      <c r="C920" s="14"/>
      <c r="D920" s="4"/>
      <c r="E920"/>
    </row>
    <row r="921" spans="2:5" x14ac:dyDescent="0.25">
      <c r="B921"/>
      <c r="C921" s="14"/>
      <c r="D921" s="4"/>
      <c r="E921"/>
    </row>
    <row r="922" spans="2:5" x14ac:dyDescent="0.25">
      <c r="B922"/>
      <c r="C922" s="14"/>
      <c r="D922" s="4"/>
      <c r="E922"/>
    </row>
    <row r="923" spans="2:5" x14ac:dyDescent="0.25">
      <c r="B923"/>
      <c r="C923" s="14"/>
      <c r="D923" s="4"/>
      <c r="E923"/>
    </row>
    <row r="924" spans="2:5" x14ac:dyDescent="0.25">
      <c r="B924"/>
      <c r="C924" s="14"/>
      <c r="D924" s="4"/>
      <c r="E924"/>
    </row>
    <row r="925" spans="2:5" x14ac:dyDescent="0.25">
      <c r="B925"/>
      <c r="C925" s="14"/>
      <c r="D925" s="4"/>
      <c r="E925"/>
    </row>
    <row r="926" spans="2:5" x14ac:dyDescent="0.25">
      <c r="B926"/>
      <c r="C926" s="14"/>
      <c r="D926" s="4"/>
      <c r="E926"/>
    </row>
    <row r="927" spans="2:5" x14ac:dyDescent="0.25">
      <c r="B927"/>
      <c r="C927" s="14"/>
      <c r="D927" s="4"/>
      <c r="E927"/>
    </row>
    <row r="928" spans="2:5" x14ac:dyDescent="0.25">
      <c r="B928"/>
      <c r="C928" s="14"/>
      <c r="D928" s="4"/>
      <c r="E928"/>
    </row>
    <row r="929" spans="2:5" x14ac:dyDescent="0.25">
      <c r="B929"/>
      <c r="C929" s="14"/>
      <c r="D929" s="4"/>
      <c r="E929"/>
    </row>
    <row r="930" spans="2:5" x14ac:dyDescent="0.25">
      <c r="B930"/>
      <c r="C930" s="14"/>
      <c r="D930" s="4"/>
      <c r="E930"/>
    </row>
    <row r="931" spans="2:5" x14ac:dyDescent="0.25">
      <c r="B931"/>
      <c r="C931" s="14"/>
      <c r="D931" s="4"/>
      <c r="E931"/>
    </row>
    <row r="932" spans="2:5" x14ac:dyDescent="0.25">
      <c r="B932"/>
      <c r="C932" s="14"/>
      <c r="D932" s="4"/>
      <c r="E932"/>
    </row>
    <row r="933" spans="2:5" x14ac:dyDescent="0.25">
      <c r="B933"/>
      <c r="C933" s="14"/>
      <c r="D933" s="4"/>
      <c r="E933"/>
    </row>
    <row r="934" spans="2:5" x14ac:dyDescent="0.25">
      <c r="B934"/>
      <c r="C934" s="14"/>
      <c r="D934" s="4"/>
      <c r="E934"/>
    </row>
    <row r="935" spans="2:5" x14ac:dyDescent="0.25">
      <c r="B935"/>
      <c r="C935" s="14"/>
      <c r="D935" s="4"/>
      <c r="E935"/>
    </row>
    <row r="936" spans="2:5" x14ac:dyDescent="0.25">
      <c r="B936"/>
      <c r="C936" s="14"/>
      <c r="D936" s="4"/>
      <c r="E936"/>
    </row>
    <row r="937" spans="2:5" x14ac:dyDescent="0.25">
      <c r="B937"/>
      <c r="C937" s="14"/>
      <c r="D937" s="4"/>
      <c r="E937"/>
    </row>
    <row r="938" spans="2:5" x14ac:dyDescent="0.25">
      <c r="B938"/>
      <c r="C938" s="14"/>
      <c r="D938" s="4"/>
      <c r="E938"/>
    </row>
    <row r="939" spans="2:5" x14ac:dyDescent="0.25">
      <c r="B939"/>
      <c r="C939" s="14"/>
      <c r="D939" s="4"/>
      <c r="E939"/>
    </row>
    <row r="940" spans="2:5" x14ac:dyDescent="0.25">
      <c r="B940"/>
      <c r="C940" s="14"/>
      <c r="D940" s="4"/>
      <c r="E940"/>
    </row>
    <row r="941" spans="2:5" x14ac:dyDescent="0.25">
      <c r="B941"/>
      <c r="C941" s="14"/>
      <c r="D941" s="4"/>
      <c r="E941"/>
    </row>
    <row r="942" spans="2:5" x14ac:dyDescent="0.25">
      <c r="B942"/>
      <c r="C942" s="14"/>
      <c r="D942" s="4"/>
      <c r="E942"/>
    </row>
    <row r="943" spans="2:5" x14ac:dyDescent="0.25">
      <c r="B943"/>
      <c r="C943" s="14"/>
      <c r="D943" s="4"/>
      <c r="E943"/>
    </row>
    <row r="944" spans="2:5" x14ac:dyDescent="0.25">
      <c r="B944"/>
      <c r="C944" s="14"/>
      <c r="D944" s="4"/>
      <c r="E944"/>
    </row>
    <row r="945" spans="2:5" x14ac:dyDescent="0.25">
      <c r="B945"/>
      <c r="C945" s="14"/>
      <c r="D945" s="4"/>
      <c r="E945"/>
    </row>
    <row r="946" spans="2:5" x14ac:dyDescent="0.25">
      <c r="B946"/>
      <c r="C946" s="14"/>
      <c r="D946" s="4"/>
      <c r="E946"/>
    </row>
    <row r="947" spans="2:5" x14ac:dyDescent="0.25">
      <c r="B947"/>
      <c r="C947" s="14"/>
      <c r="D947" s="4"/>
      <c r="E947"/>
    </row>
    <row r="948" spans="2:5" x14ac:dyDescent="0.25">
      <c r="B948"/>
      <c r="C948" s="14"/>
      <c r="D948" s="4"/>
      <c r="E948"/>
    </row>
    <row r="949" spans="2:5" x14ac:dyDescent="0.25">
      <c r="B949"/>
      <c r="C949" s="14"/>
      <c r="D949" s="4"/>
      <c r="E949"/>
    </row>
    <row r="950" spans="2:5" x14ac:dyDescent="0.25">
      <c r="B950"/>
      <c r="C950" s="14"/>
      <c r="D950" s="4"/>
      <c r="E950"/>
    </row>
    <row r="951" spans="2:5" x14ac:dyDescent="0.25">
      <c r="B951"/>
      <c r="C951" s="14"/>
      <c r="D951" s="4"/>
      <c r="E951"/>
    </row>
    <row r="952" spans="2:5" x14ac:dyDescent="0.25">
      <c r="B952"/>
      <c r="C952" s="14"/>
      <c r="D952" s="4"/>
      <c r="E952"/>
    </row>
    <row r="953" spans="2:5" x14ac:dyDescent="0.25">
      <c r="B953"/>
      <c r="C953" s="14"/>
      <c r="D953" s="4"/>
      <c r="E953"/>
    </row>
    <row r="954" spans="2:5" x14ac:dyDescent="0.25">
      <c r="B954"/>
      <c r="C954" s="14"/>
      <c r="D954" s="4"/>
      <c r="E954"/>
    </row>
    <row r="955" spans="2:5" x14ac:dyDescent="0.25">
      <c r="B955"/>
      <c r="C955" s="14"/>
      <c r="D955" s="4"/>
      <c r="E955"/>
    </row>
    <row r="956" spans="2:5" x14ac:dyDescent="0.25">
      <c r="B956"/>
      <c r="C956" s="14"/>
      <c r="D956" s="4"/>
      <c r="E956"/>
    </row>
    <row r="957" spans="2:5" x14ac:dyDescent="0.25">
      <c r="B957"/>
      <c r="C957" s="14"/>
      <c r="D957" s="4"/>
      <c r="E957"/>
    </row>
    <row r="958" spans="2:5" x14ac:dyDescent="0.25">
      <c r="B958"/>
      <c r="C958" s="14"/>
      <c r="D958" s="4"/>
      <c r="E958"/>
    </row>
    <row r="959" spans="2:5" x14ac:dyDescent="0.25">
      <c r="B959"/>
      <c r="C959" s="14"/>
      <c r="D959" s="4"/>
      <c r="E959"/>
    </row>
    <row r="960" spans="2:5" x14ac:dyDescent="0.25">
      <c r="B960"/>
      <c r="C960" s="14"/>
      <c r="D960" s="4"/>
      <c r="E960"/>
    </row>
    <row r="961" spans="2:5" x14ac:dyDescent="0.25">
      <c r="B961"/>
      <c r="C961" s="14"/>
      <c r="D961" s="4"/>
      <c r="E961"/>
    </row>
    <row r="962" spans="2:5" x14ac:dyDescent="0.25">
      <c r="B962"/>
      <c r="C962" s="14"/>
      <c r="D962" s="4"/>
      <c r="E962"/>
    </row>
    <row r="963" spans="2:5" x14ac:dyDescent="0.25">
      <c r="B963"/>
      <c r="C963" s="14"/>
      <c r="D963" s="4"/>
      <c r="E963"/>
    </row>
    <row r="964" spans="2:5" x14ac:dyDescent="0.25">
      <c r="B964"/>
      <c r="C964" s="14"/>
      <c r="D964" s="4"/>
      <c r="E964"/>
    </row>
    <row r="965" spans="2:5" x14ac:dyDescent="0.25">
      <c r="B965"/>
      <c r="C965" s="14"/>
      <c r="D965" s="4"/>
      <c r="E965"/>
    </row>
    <row r="966" spans="2:5" x14ac:dyDescent="0.25">
      <c r="B966"/>
      <c r="C966" s="14"/>
      <c r="D966" s="4"/>
      <c r="E966"/>
    </row>
    <row r="967" spans="2:5" x14ac:dyDescent="0.25">
      <c r="B967"/>
      <c r="C967" s="14"/>
      <c r="D967" s="4"/>
      <c r="E967"/>
    </row>
    <row r="968" spans="2:5" x14ac:dyDescent="0.25">
      <c r="B968"/>
      <c r="C968" s="14"/>
      <c r="D968" s="4"/>
      <c r="E968"/>
    </row>
    <row r="969" spans="2:5" x14ac:dyDescent="0.25">
      <c r="B969"/>
      <c r="C969" s="14"/>
      <c r="D969" s="4"/>
      <c r="E969"/>
    </row>
    <row r="970" spans="2:5" x14ac:dyDescent="0.25">
      <c r="B970"/>
      <c r="C970" s="14"/>
      <c r="D970" s="4"/>
      <c r="E970"/>
    </row>
    <row r="971" spans="2:5" x14ac:dyDescent="0.25">
      <c r="B971"/>
      <c r="C971" s="14"/>
      <c r="D971" s="4"/>
      <c r="E971"/>
    </row>
    <row r="972" spans="2:5" x14ac:dyDescent="0.25">
      <c r="B972"/>
      <c r="C972" s="14"/>
      <c r="D972" s="4"/>
      <c r="E972"/>
    </row>
    <row r="973" spans="2:5" x14ac:dyDescent="0.25">
      <c r="B973"/>
      <c r="C973" s="14"/>
      <c r="D973" s="4"/>
      <c r="E973"/>
    </row>
    <row r="974" spans="2:5" x14ac:dyDescent="0.25">
      <c r="B974"/>
      <c r="C974" s="14"/>
      <c r="D974" s="4"/>
      <c r="E974"/>
    </row>
    <row r="975" spans="2:5" x14ac:dyDescent="0.25">
      <c r="B975"/>
      <c r="C975" s="14"/>
      <c r="D975" s="4"/>
      <c r="E975"/>
    </row>
    <row r="976" spans="2:5" x14ac:dyDescent="0.25">
      <c r="B976"/>
      <c r="C976" s="14"/>
      <c r="D976" s="4"/>
      <c r="E976"/>
    </row>
    <row r="977" spans="2:5" x14ac:dyDescent="0.25">
      <c r="B977"/>
      <c r="C977" s="14"/>
      <c r="D977" s="4"/>
      <c r="E977"/>
    </row>
    <row r="978" spans="2:5" x14ac:dyDescent="0.25">
      <c r="B978"/>
      <c r="C978" s="14"/>
      <c r="D978" s="4"/>
      <c r="E978"/>
    </row>
    <row r="979" spans="2:5" x14ac:dyDescent="0.25">
      <c r="B979"/>
      <c r="C979" s="14"/>
      <c r="D979" s="4"/>
      <c r="E979"/>
    </row>
    <row r="980" spans="2:5" x14ac:dyDescent="0.25">
      <c r="B980"/>
      <c r="C980" s="14"/>
      <c r="D980" s="4"/>
      <c r="E980"/>
    </row>
    <row r="981" spans="2:5" x14ac:dyDescent="0.25">
      <c r="B981"/>
      <c r="C981" s="14"/>
      <c r="D981" s="4"/>
      <c r="E981"/>
    </row>
    <row r="982" spans="2:5" x14ac:dyDescent="0.25">
      <c r="B982"/>
      <c r="C982" s="14"/>
      <c r="D982" s="4"/>
      <c r="E982"/>
    </row>
    <row r="983" spans="2:5" x14ac:dyDescent="0.25">
      <c r="B983"/>
      <c r="C983" s="14"/>
      <c r="D983" s="4"/>
      <c r="E983"/>
    </row>
    <row r="984" spans="2:5" x14ac:dyDescent="0.25">
      <c r="B984"/>
      <c r="C984" s="14"/>
      <c r="D984" s="4"/>
      <c r="E984"/>
    </row>
    <row r="985" spans="2:5" x14ac:dyDescent="0.25">
      <c r="B985"/>
      <c r="C985" s="14"/>
      <c r="D985" s="4"/>
      <c r="E985"/>
    </row>
    <row r="986" spans="2:5" x14ac:dyDescent="0.25">
      <c r="B986"/>
      <c r="C986" s="14"/>
      <c r="D986" s="4"/>
      <c r="E986"/>
    </row>
    <row r="987" spans="2:5" x14ac:dyDescent="0.25">
      <c r="B987"/>
      <c r="C987" s="14"/>
      <c r="D987" s="4"/>
      <c r="E987"/>
    </row>
    <row r="988" spans="2:5" x14ac:dyDescent="0.25">
      <c r="B988"/>
      <c r="C988" s="14"/>
      <c r="D988" s="4"/>
      <c r="E988"/>
    </row>
    <row r="989" spans="2:5" x14ac:dyDescent="0.25">
      <c r="B989"/>
      <c r="C989" s="14"/>
      <c r="D989" s="4"/>
      <c r="E989"/>
    </row>
    <row r="990" spans="2:5" x14ac:dyDescent="0.25">
      <c r="B990"/>
      <c r="C990" s="14"/>
      <c r="D990" s="4"/>
      <c r="E990"/>
    </row>
    <row r="991" spans="2:5" x14ac:dyDescent="0.25">
      <c r="B991"/>
      <c r="C991" s="14"/>
      <c r="D991" s="4"/>
      <c r="E991"/>
    </row>
    <row r="992" spans="2:5" x14ac:dyDescent="0.25">
      <c r="B992"/>
      <c r="C992" s="14"/>
      <c r="D992" s="4"/>
      <c r="E99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4846-D0FF-4112-9D8F-8E8A4AA4D994}">
  <sheetPr codeName="Sheet2"/>
  <dimension ref="A1:F35"/>
  <sheetViews>
    <sheetView workbookViewId="0">
      <selection activeCell="A18" sqref="A18"/>
    </sheetView>
  </sheetViews>
  <sheetFormatPr defaultColWidth="8.85546875" defaultRowHeight="15" x14ac:dyDescent="0.25"/>
  <cols>
    <col min="1" max="1" width="16.42578125" customWidth="1"/>
    <col min="2" max="2" width="16.28515625" customWidth="1"/>
    <col min="3" max="3" width="47.85546875" bestFit="1" customWidth="1"/>
    <col min="4" max="6" width="10.42578125" customWidth="1"/>
  </cols>
  <sheetData>
    <row r="1" spans="1:6" x14ac:dyDescent="0.25">
      <c r="A1" s="8" t="s">
        <v>29</v>
      </c>
      <c r="B1" t="s">
        <v>71</v>
      </c>
      <c r="C1" s="8" t="s">
        <v>72</v>
      </c>
      <c r="D1" s="9" t="s">
        <v>73</v>
      </c>
      <c r="E1" t="s">
        <v>4</v>
      </c>
      <c r="F1" t="s">
        <v>5</v>
      </c>
    </row>
    <row r="2" spans="1:6" x14ac:dyDescent="0.25">
      <c r="A2" t="s">
        <v>57</v>
      </c>
      <c r="C2" s="8" t="s">
        <v>20</v>
      </c>
      <c r="D2" s="9"/>
    </row>
    <row r="3" spans="1:6" x14ac:dyDescent="0.25">
      <c r="A3" t="s">
        <v>57</v>
      </c>
      <c r="B3" t="s">
        <v>20</v>
      </c>
      <c r="C3" t="s">
        <v>21</v>
      </c>
      <c r="D3" s="9">
        <v>36</v>
      </c>
      <c r="E3" t="s">
        <v>16</v>
      </c>
      <c r="F3" t="s">
        <v>22</v>
      </c>
    </row>
    <row r="4" spans="1:6" x14ac:dyDescent="0.25">
      <c r="A4" t="s">
        <v>57</v>
      </c>
      <c r="B4" t="s">
        <v>20</v>
      </c>
      <c r="C4" t="s">
        <v>23</v>
      </c>
      <c r="D4" s="9">
        <v>48</v>
      </c>
      <c r="E4" t="s">
        <v>16</v>
      </c>
      <c r="F4" t="s">
        <v>22</v>
      </c>
    </row>
    <row r="5" spans="1:6" x14ac:dyDescent="0.25">
      <c r="A5" t="s">
        <v>57</v>
      </c>
      <c r="B5" t="s">
        <v>20</v>
      </c>
      <c r="C5" t="s">
        <v>24</v>
      </c>
      <c r="D5" s="9">
        <v>10</v>
      </c>
      <c r="E5" t="s">
        <v>16</v>
      </c>
      <c r="F5" t="s">
        <v>17</v>
      </c>
    </row>
    <row r="6" spans="1:6" x14ac:dyDescent="0.25">
      <c r="A6" t="s">
        <v>57</v>
      </c>
      <c r="B6" t="s">
        <v>20</v>
      </c>
      <c r="C6" t="s">
        <v>24</v>
      </c>
      <c r="D6" s="9">
        <v>50</v>
      </c>
      <c r="E6" t="s">
        <v>16</v>
      </c>
      <c r="F6" t="s">
        <v>18</v>
      </c>
    </row>
    <row r="7" spans="1:6" x14ac:dyDescent="0.25">
      <c r="A7" t="s">
        <v>57</v>
      </c>
      <c r="B7" t="s">
        <v>19</v>
      </c>
      <c r="C7" t="s">
        <v>19</v>
      </c>
      <c r="D7" s="9" t="s">
        <v>19</v>
      </c>
      <c r="E7" t="s">
        <v>19</v>
      </c>
      <c r="F7" t="s">
        <v>19</v>
      </c>
    </row>
    <row r="8" spans="1:6" x14ac:dyDescent="0.25">
      <c r="A8" t="s">
        <v>57</v>
      </c>
      <c r="B8" t="s">
        <v>19</v>
      </c>
      <c r="C8" s="8" t="s">
        <v>25</v>
      </c>
      <c r="D8" s="9" t="s">
        <v>19</v>
      </c>
      <c r="E8" t="s">
        <v>19</v>
      </c>
      <c r="F8" t="s">
        <v>19</v>
      </c>
    </row>
    <row r="9" spans="1:6" x14ac:dyDescent="0.25">
      <c r="A9" t="s">
        <v>57</v>
      </c>
      <c r="B9" t="s">
        <v>25</v>
      </c>
      <c r="C9" t="s">
        <v>26</v>
      </c>
      <c r="D9" s="9">
        <v>50</v>
      </c>
      <c r="E9" t="s">
        <v>16</v>
      </c>
      <c r="F9" t="s">
        <v>27</v>
      </c>
    </row>
    <row r="10" spans="1:6" x14ac:dyDescent="0.25">
      <c r="A10" t="s">
        <v>57</v>
      </c>
      <c r="B10" t="s">
        <v>25</v>
      </c>
      <c r="C10" t="s">
        <v>28</v>
      </c>
      <c r="D10" s="9">
        <v>45</v>
      </c>
      <c r="E10" t="s">
        <v>16</v>
      </c>
      <c r="F10" t="s">
        <v>27</v>
      </c>
    </row>
    <row r="15" spans="1:6" x14ac:dyDescent="0.25">
      <c r="A15" s="8" t="s">
        <v>29</v>
      </c>
      <c r="B15" t="s">
        <v>71</v>
      </c>
      <c r="C15" s="8" t="s">
        <v>72</v>
      </c>
      <c r="D15" s="9" t="s">
        <v>73</v>
      </c>
      <c r="E15" t="s">
        <v>4</v>
      </c>
      <c r="F15" t="s">
        <v>5</v>
      </c>
    </row>
    <row r="16" spans="1:6" x14ac:dyDescent="0.25">
      <c r="A16" t="s">
        <v>19</v>
      </c>
      <c r="B16" s="7" t="s">
        <v>19</v>
      </c>
      <c r="C16" s="8" t="s">
        <v>20</v>
      </c>
      <c r="D16" s="9" t="s">
        <v>19</v>
      </c>
      <c r="E16" t="s">
        <v>19</v>
      </c>
      <c r="F16" t="s">
        <v>19</v>
      </c>
    </row>
    <row r="17" spans="1:6" x14ac:dyDescent="0.25">
      <c r="A17" t="s">
        <v>49</v>
      </c>
      <c r="B17" t="s">
        <v>20</v>
      </c>
      <c r="C17" t="s">
        <v>21</v>
      </c>
      <c r="D17" s="9">
        <v>28</v>
      </c>
      <c r="E17" t="s">
        <v>32</v>
      </c>
      <c r="F17" t="s">
        <v>22</v>
      </c>
    </row>
    <row r="18" spans="1:6" x14ac:dyDescent="0.25">
      <c r="A18" t="s">
        <v>49</v>
      </c>
      <c r="B18" t="s">
        <v>20</v>
      </c>
      <c r="C18" t="s">
        <v>23</v>
      </c>
      <c r="D18" s="9">
        <v>35</v>
      </c>
      <c r="E18" t="s">
        <v>32</v>
      </c>
      <c r="F18" t="s">
        <v>22</v>
      </c>
    </row>
    <row r="19" spans="1:6" x14ac:dyDescent="0.25">
      <c r="A19" t="s">
        <v>49</v>
      </c>
      <c r="B19" t="s">
        <v>20</v>
      </c>
      <c r="C19" t="s">
        <v>24</v>
      </c>
      <c r="D19" s="9">
        <v>56</v>
      </c>
      <c r="E19" t="s">
        <v>32</v>
      </c>
      <c r="F19" t="s">
        <v>17</v>
      </c>
    </row>
    <row r="20" spans="1:6" x14ac:dyDescent="0.25">
      <c r="A20" t="s">
        <v>49</v>
      </c>
      <c r="B20" t="s">
        <v>20</v>
      </c>
      <c r="C20" t="s">
        <v>24</v>
      </c>
      <c r="D20" s="9">
        <v>45</v>
      </c>
      <c r="E20" t="s">
        <v>32</v>
      </c>
      <c r="F20" t="s">
        <v>18</v>
      </c>
    </row>
    <row r="22" spans="1:6" x14ac:dyDescent="0.25">
      <c r="B22" t="s">
        <v>19</v>
      </c>
      <c r="C22" s="8" t="s">
        <v>25</v>
      </c>
      <c r="D22" s="9" t="s">
        <v>19</v>
      </c>
      <c r="E22" t="s">
        <v>19</v>
      </c>
      <c r="F22" t="s">
        <v>19</v>
      </c>
    </row>
    <row r="23" spans="1:6" x14ac:dyDescent="0.25">
      <c r="A23" t="s">
        <v>49</v>
      </c>
      <c r="B23" t="s">
        <v>25</v>
      </c>
      <c r="C23" t="s">
        <v>26</v>
      </c>
      <c r="D23" s="9">
        <v>44</v>
      </c>
      <c r="E23" t="s">
        <v>32</v>
      </c>
      <c r="F23" t="s">
        <v>27</v>
      </c>
    </row>
    <row r="24" spans="1:6" x14ac:dyDescent="0.25">
      <c r="A24" t="s">
        <v>49</v>
      </c>
      <c r="B24" t="s">
        <v>25</v>
      </c>
      <c r="C24" t="s">
        <v>28</v>
      </c>
      <c r="D24" s="9">
        <v>68</v>
      </c>
      <c r="E24" t="s">
        <v>32</v>
      </c>
      <c r="F24" t="s">
        <v>27</v>
      </c>
    </row>
    <row r="27" spans="1:6" x14ac:dyDescent="0.25">
      <c r="C27" s="8"/>
      <c r="D27" s="17"/>
    </row>
    <row r="28" spans="1:6" x14ac:dyDescent="0.25">
      <c r="D28" s="17"/>
    </row>
    <row r="29" spans="1:6" x14ac:dyDescent="0.25">
      <c r="D29" s="17"/>
    </row>
    <row r="30" spans="1:6" x14ac:dyDescent="0.25">
      <c r="D30" s="17"/>
    </row>
    <row r="31" spans="1:6" x14ac:dyDescent="0.25">
      <c r="D31" s="17"/>
    </row>
    <row r="33" spans="4:4" x14ac:dyDescent="0.25">
      <c r="D33" s="6"/>
    </row>
    <row r="34" spans="4:4" x14ac:dyDescent="0.25">
      <c r="D34" s="17"/>
    </row>
    <row r="35" spans="4:4" x14ac:dyDescent="0.25">
      <c r="D35" s="17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8FD-7D60-4BE0-84C7-595BF0B6409D}">
  <sheetPr codeName="Sheet3"/>
  <dimension ref="A1:T9"/>
  <sheetViews>
    <sheetView zoomScale="85" zoomScaleNormal="85" workbookViewId="0">
      <selection activeCell="H5" sqref="H5"/>
    </sheetView>
  </sheetViews>
  <sheetFormatPr defaultColWidth="8.85546875" defaultRowHeight="15" x14ac:dyDescent="0.25"/>
  <cols>
    <col min="2" max="2" width="12.42578125" customWidth="1"/>
    <col min="3" max="3" width="14.7109375" customWidth="1"/>
    <col min="4" max="4" width="34.42578125" customWidth="1"/>
    <col min="5" max="5" width="20.7109375" customWidth="1"/>
    <col min="6" max="6" width="17.85546875" customWidth="1"/>
    <col min="7" max="7" width="30.85546875" customWidth="1"/>
    <col min="8" max="8" width="21.42578125" customWidth="1"/>
    <col min="9" max="10" width="17.85546875" customWidth="1"/>
    <col min="11" max="11" width="19" customWidth="1"/>
    <col min="12" max="12" width="20.85546875" bestFit="1" customWidth="1"/>
    <col min="13" max="13" width="17.85546875" customWidth="1"/>
    <col min="14" max="14" width="15" customWidth="1"/>
    <col min="15" max="15" width="19.7109375" customWidth="1"/>
    <col min="16" max="16" width="32.140625" customWidth="1"/>
    <col min="17" max="17" width="79.28515625" customWidth="1"/>
    <col min="18" max="18" width="124.42578125" bestFit="1" customWidth="1"/>
    <col min="19" max="19" width="32.42578125" customWidth="1"/>
    <col min="20" max="20" width="30.28515625" customWidth="1"/>
  </cols>
  <sheetData>
    <row r="1" spans="1:20" ht="30" x14ac:dyDescent="0.25">
      <c r="A1" s="10" t="s">
        <v>33</v>
      </c>
      <c r="B1" s="10" t="s">
        <v>34</v>
      </c>
      <c r="C1" s="10" t="s">
        <v>35</v>
      </c>
      <c r="D1" s="10" t="s">
        <v>45</v>
      </c>
      <c r="E1" s="10" t="s">
        <v>36</v>
      </c>
      <c r="F1" s="10" t="s">
        <v>37</v>
      </c>
      <c r="G1" s="10" t="s">
        <v>52</v>
      </c>
      <c r="H1" s="10" t="s">
        <v>51</v>
      </c>
      <c r="I1" s="10" t="s">
        <v>4</v>
      </c>
      <c r="J1" s="10" t="s">
        <v>29</v>
      </c>
      <c r="K1" s="10" t="s">
        <v>41</v>
      </c>
      <c r="L1" s="10" t="s">
        <v>42</v>
      </c>
      <c r="M1" s="10" t="s">
        <v>7</v>
      </c>
      <c r="N1" s="10" t="s">
        <v>6</v>
      </c>
      <c r="O1" s="10" t="s">
        <v>39</v>
      </c>
      <c r="P1" s="10" t="s">
        <v>167</v>
      </c>
      <c r="Q1" s="11" t="s">
        <v>178</v>
      </c>
      <c r="R1" s="11" t="s">
        <v>177</v>
      </c>
      <c r="S1" s="11" t="s">
        <v>180</v>
      </c>
      <c r="T1" s="11" t="s">
        <v>179</v>
      </c>
    </row>
    <row r="2" spans="1:20" x14ac:dyDescent="0.25">
      <c r="A2" t="s">
        <v>62</v>
      </c>
      <c r="B2" t="s">
        <v>64</v>
      </c>
      <c r="C2" t="s">
        <v>38</v>
      </c>
      <c r="D2" t="s">
        <v>60</v>
      </c>
      <c r="E2" t="s">
        <v>9</v>
      </c>
      <c r="F2" s="3" t="s">
        <v>58</v>
      </c>
      <c r="G2" s="3" t="s">
        <v>55</v>
      </c>
      <c r="H2" s="5" t="s">
        <v>53</v>
      </c>
      <c r="I2" t="s">
        <v>16</v>
      </c>
      <c r="J2" t="s">
        <v>57</v>
      </c>
      <c r="K2" s="3" t="s">
        <v>40</v>
      </c>
      <c r="L2" s="3" t="s">
        <v>46</v>
      </c>
      <c r="M2" s="4">
        <v>45444</v>
      </c>
      <c r="N2" s="14">
        <v>45454</v>
      </c>
      <c r="O2" t="s">
        <v>30</v>
      </c>
      <c r="P2" t="str">
        <f>T_CustomerMasterdata[[#This Row],[Customer ref. SAP]]&amp;T_CustomerMasterdata[[#This Row],[Effective]]&amp;T_CustomerMasterdata[[#This Row],[Mailing date]]&amp;T_CustomerMasterdata[[#This Row],[Last Price List Version]]</f>
        <v>XXXXX14544445454V2</v>
      </c>
      <c r="Q2" t="s">
        <v>66</v>
      </c>
      <c r="R2" t="s">
        <v>69</v>
      </c>
      <c r="S2" s="15" t="str">
        <f>V_Email_PBPCostingManager</f>
        <v>internalpersonPBP@internal.com</v>
      </c>
      <c r="T2" t="str">
        <f>V_Email_PBPCommon</f>
        <v>examplePBPCommon.email@example.com</v>
      </c>
    </row>
    <row r="3" spans="1:20" x14ac:dyDescent="0.25">
      <c r="A3" t="s">
        <v>63</v>
      </c>
      <c r="B3" t="s">
        <v>65</v>
      </c>
      <c r="C3" t="s">
        <v>47</v>
      </c>
      <c r="D3" t="s">
        <v>61</v>
      </c>
      <c r="E3" t="s">
        <v>9</v>
      </c>
      <c r="F3" s="3" t="s">
        <v>59</v>
      </c>
      <c r="G3" s="3" t="s">
        <v>56</v>
      </c>
      <c r="H3" s="5" t="s">
        <v>54</v>
      </c>
      <c r="I3" t="s">
        <v>32</v>
      </c>
      <c r="J3" t="s">
        <v>49</v>
      </c>
      <c r="K3" s="3" t="s">
        <v>40</v>
      </c>
      <c r="L3" s="3" t="s">
        <v>43</v>
      </c>
      <c r="M3" s="4">
        <v>45658</v>
      </c>
      <c r="N3" s="14">
        <v>45658</v>
      </c>
      <c r="O3" t="s">
        <v>44</v>
      </c>
      <c r="P3" t="str">
        <f>T_CustomerMasterdata[[#This Row],[Customer ref. SAP]]&amp;T_CustomerMasterdata[[#This Row],[Effective]]&amp;T_CustomerMasterdata[[#This Row],[Mailing date]]&amp;T_CustomerMasterdata[[#This Row],[Last Price List Version]]</f>
        <v>XXXXX24565845658V1</v>
      </c>
      <c r="Q3" s="15" t="s">
        <v>67</v>
      </c>
      <c r="R3" s="15" t="s">
        <v>68</v>
      </c>
      <c r="S3" s="15" t="str">
        <f>V_Email_PBPCostingManager</f>
        <v>internalpersonPBP@internal.com</v>
      </c>
      <c r="T3" t="str">
        <f>V_Email_PBPCommon</f>
        <v>examplePBPCommon.email@example.com</v>
      </c>
    </row>
    <row r="4" spans="1:20" x14ac:dyDescent="0.25">
      <c r="A4" s="24" t="s">
        <v>63</v>
      </c>
      <c r="B4" s="24" t="s">
        <v>65</v>
      </c>
      <c r="C4" s="24" t="s">
        <v>47</v>
      </c>
      <c r="D4" s="24" t="s">
        <v>61</v>
      </c>
      <c r="E4" s="24" t="s">
        <v>9</v>
      </c>
      <c r="F4" s="25" t="s">
        <v>181</v>
      </c>
      <c r="G4" s="25" t="s">
        <v>182</v>
      </c>
      <c r="H4" s="26" t="s">
        <v>185</v>
      </c>
      <c r="I4" s="24" t="s">
        <v>183</v>
      </c>
      <c r="J4" s="24" t="s">
        <v>184</v>
      </c>
      <c r="K4" s="25" t="s">
        <v>40</v>
      </c>
      <c r="L4" s="25" t="s">
        <v>43</v>
      </c>
      <c r="M4" s="27">
        <v>45658</v>
      </c>
      <c r="N4" s="28">
        <v>45658</v>
      </c>
      <c r="O4" s="24" t="s">
        <v>44</v>
      </c>
      <c r="P4" s="29" t="str">
        <f>T_CustomerMasterdata[[#This Row],[Customer ref. SAP]]&amp;T_CustomerMasterdata[[#This Row],[Effective]]&amp;T_CustomerMasterdata[[#This Row],[Mailing date]]&amp;T_CustomerMasterdata[[#This Row],[Last Price List Version]]</f>
        <v>XXXXX34565845658V1</v>
      </c>
      <c r="Q4" s="30" t="s">
        <v>67</v>
      </c>
      <c r="R4" s="30" t="s">
        <v>68</v>
      </c>
      <c r="S4" s="31" t="str">
        <f>V_Email_PBPCostingManager</f>
        <v>internalpersonPBP@internal.com</v>
      </c>
      <c r="T4" s="24" t="str">
        <f>V_Email_PBPCommon</f>
        <v>examplePBPCommon.email@example.com</v>
      </c>
    </row>
    <row r="9" spans="1:20" x14ac:dyDescent="0.25">
      <c r="F9" s="3"/>
      <c r="G9" s="3"/>
      <c r="H9" s="5"/>
    </row>
  </sheetData>
  <hyperlinks>
    <hyperlink ref="Q3" r:id="rId1" xr:uid="{25DE8CED-7C1A-F248-B1F3-1078F7F70D0B}"/>
    <hyperlink ref="R3" r:id="rId2" xr:uid="{A609A81C-0F4A-CB49-9F7D-FD4BD488EAC7}"/>
    <hyperlink ref="S2" r:id="rId3" display="internalpersonPBP@internal.com;" xr:uid="{A6DFDDCD-A2EC-9E4D-96BD-CB8F5C4BB81B}"/>
    <hyperlink ref="S3" r:id="rId4" display="internalpersonPBP@internal.com;" xr:uid="{F0288076-0AEA-D243-B2C5-68D2889F5B4B}"/>
    <hyperlink ref="Q4" r:id="rId5" xr:uid="{07D83331-DCC0-4AAF-AED4-215CA08AA06E}"/>
    <hyperlink ref="R4" r:id="rId6" xr:uid="{38B989C7-7519-4B9D-9B7D-BCCD210208D0}"/>
    <hyperlink ref="S4" r:id="rId7" display="internalpersonPBP@internal.com;" xr:uid="{1C9A4A9B-9597-45CE-A5CA-F741E7D486CF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7575-87E9-1E48-84E5-FF5A99EC1C43}">
  <dimension ref="A1:N46"/>
  <sheetViews>
    <sheetView workbookViewId="0">
      <selection activeCell="H26" sqref="H26"/>
    </sheetView>
  </sheetViews>
  <sheetFormatPr defaultColWidth="11.42578125" defaultRowHeight="15" x14ac:dyDescent="0.25"/>
  <cols>
    <col min="1" max="1" width="13.85546875" customWidth="1"/>
    <col min="9" max="9" width="13.85546875" customWidth="1"/>
  </cols>
  <sheetData>
    <row r="1" spans="1:14" ht="47.25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I1" s="2" t="s">
        <v>0</v>
      </c>
      <c r="J1" s="2" t="s">
        <v>1</v>
      </c>
      <c r="K1" s="2" t="s">
        <v>2</v>
      </c>
      <c r="L1" s="1" t="s">
        <v>3</v>
      </c>
      <c r="M1" s="2" t="s">
        <v>4</v>
      </c>
      <c r="N1" s="2" t="s">
        <v>5</v>
      </c>
    </row>
    <row r="2" spans="1:14" x14ac:dyDescent="0.25">
      <c r="A2" s="20" t="s">
        <v>11</v>
      </c>
      <c r="B2" s="21" t="s">
        <v>74</v>
      </c>
      <c r="C2" s="20" t="s">
        <v>75</v>
      </c>
      <c r="D2" s="22">
        <v>1446</v>
      </c>
      <c r="E2" s="20" t="s">
        <v>16</v>
      </c>
      <c r="F2" s="20" t="s">
        <v>17</v>
      </c>
      <c r="I2" s="20" t="s">
        <v>11</v>
      </c>
      <c r="J2" s="21" t="s">
        <v>78</v>
      </c>
      <c r="K2" s="20" t="s">
        <v>79</v>
      </c>
      <c r="L2" s="22">
        <v>46.1</v>
      </c>
      <c r="M2" s="20" t="s">
        <v>32</v>
      </c>
      <c r="N2" s="20" t="s">
        <v>17</v>
      </c>
    </row>
    <row r="3" spans="1:14" x14ac:dyDescent="0.25">
      <c r="A3" s="20" t="s">
        <v>11</v>
      </c>
      <c r="B3" s="21" t="s">
        <v>76</v>
      </c>
      <c r="C3" s="20" t="s">
        <v>77</v>
      </c>
      <c r="D3" s="22">
        <v>81</v>
      </c>
      <c r="E3" s="20" t="s">
        <v>16</v>
      </c>
      <c r="F3" s="20" t="s">
        <v>17</v>
      </c>
      <c r="I3" s="20" t="s">
        <v>11</v>
      </c>
      <c r="J3" s="21" t="s">
        <v>80</v>
      </c>
      <c r="K3" s="20" t="s">
        <v>81</v>
      </c>
      <c r="L3" s="22">
        <v>34.1</v>
      </c>
      <c r="M3" s="20" t="s">
        <v>32</v>
      </c>
      <c r="N3" s="20" t="s">
        <v>17</v>
      </c>
    </row>
    <row r="4" spans="1:14" x14ac:dyDescent="0.25">
      <c r="A4" s="20" t="s">
        <v>11</v>
      </c>
      <c r="B4" s="21" t="s">
        <v>78</v>
      </c>
      <c r="C4" s="20" t="s">
        <v>79</v>
      </c>
      <c r="D4" s="22">
        <v>461</v>
      </c>
      <c r="E4" s="20" t="s">
        <v>16</v>
      </c>
      <c r="F4" s="20" t="s">
        <v>17</v>
      </c>
      <c r="I4" s="20" t="s">
        <v>11</v>
      </c>
      <c r="J4" s="21" t="s">
        <v>15</v>
      </c>
      <c r="K4" s="20" t="s">
        <v>82</v>
      </c>
      <c r="L4" s="22">
        <v>168.1</v>
      </c>
      <c r="M4" s="20" t="s">
        <v>32</v>
      </c>
      <c r="N4" s="20" t="s">
        <v>17</v>
      </c>
    </row>
    <row r="5" spans="1:14" x14ac:dyDescent="0.25">
      <c r="A5" s="20" t="s">
        <v>11</v>
      </c>
      <c r="B5" s="21" t="s">
        <v>80</v>
      </c>
      <c r="C5" s="20" t="s">
        <v>81</v>
      </c>
      <c r="D5" s="22">
        <v>341</v>
      </c>
      <c r="E5" s="20" t="s">
        <v>16</v>
      </c>
      <c r="F5" s="20" t="s">
        <v>17</v>
      </c>
      <c r="I5" s="20" t="s">
        <v>11</v>
      </c>
      <c r="J5" s="21" t="s">
        <v>83</v>
      </c>
      <c r="K5" s="20" t="s">
        <v>84</v>
      </c>
      <c r="L5" s="22">
        <v>94</v>
      </c>
      <c r="M5" s="20" t="s">
        <v>32</v>
      </c>
      <c r="N5" s="20" t="s">
        <v>17</v>
      </c>
    </row>
    <row r="6" spans="1:14" x14ac:dyDescent="0.25">
      <c r="A6" s="20" t="s">
        <v>11</v>
      </c>
      <c r="B6" s="21" t="s">
        <v>15</v>
      </c>
      <c r="C6" s="20" t="s">
        <v>82</v>
      </c>
      <c r="D6" s="22">
        <v>1681</v>
      </c>
      <c r="E6" s="20" t="s">
        <v>16</v>
      </c>
      <c r="F6" s="20" t="s">
        <v>17</v>
      </c>
      <c r="I6" s="20" t="s">
        <v>11</v>
      </c>
      <c r="J6" s="21" t="s">
        <v>85</v>
      </c>
      <c r="K6" s="20" t="s">
        <v>86</v>
      </c>
      <c r="L6" s="22">
        <v>99.7</v>
      </c>
      <c r="M6" s="20" t="s">
        <v>32</v>
      </c>
      <c r="N6" s="20" t="s">
        <v>17</v>
      </c>
    </row>
    <row r="7" spans="1:14" x14ac:dyDescent="0.25">
      <c r="A7" s="20" t="s">
        <v>11</v>
      </c>
      <c r="B7" s="21" t="s">
        <v>83</v>
      </c>
      <c r="C7" s="20" t="s">
        <v>84</v>
      </c>
      <c r="D7" s="22">
        <v>940</v>
      </c>
      <c r="E7" s="20" t="s">
        <v>16</v>
      </c>
      <c r="F7" s="20" t="s">
        <v>17</v>
      </c>
      <c r="I7" s="20" t="s">
        <v>11</v>
      </c>
      <c r="J7" s="21" t="s">
        <v>87</v>
      </c>
      <c r="K7" s="20" t="s">
        <v>88</v>
      </c>
      <c r="L7" s="22">
        <v>28.9</v>
      </c>
      <c r="M7" s="20" t="s">
        <v>32</v>
      </c>
      <c r="N7" s="20" t="s">
        <v>17</v>
      </c>
    </row>
    <row r="8" spans="1:14" x14ac:dyDescent="0.25">
      <c r="A8" s="20" t="s">
        <v>11</v>
      </c>
      <c r="B8" s="21" t="s">
        <v>85</v>
      </c>
      <c r="C8" s="20" t="s">
        <v>86</v>
      </c>
      <c r="D8" s="22">
        <v>997</v>
      </c>
      <c r="E8" s="20" t="s">
        <v>16</v>
      </c>
      <c r="F8" s="20" t="s">
        <v>17</v>
      </c>
      <c r="I8" s="20" t="s">
        <v>11</v>
      </c>
      <c r="J8" s="21" t="s">
        <v>89</v>
      </c>
      <c r="K8" s="20" t="s">
        <v>90</v>
      </c>
      <c r="L8" s="22">
        <v>68.099999999999994</v>
      </c>
      <c r="M8" s="20" t="s">
        <v>32</v>
      </c>
      <c r="N8" s="20" t="s">
        <v>17</v>
      </c>
    </row>
    <row r="9" spans="1:14" x14ac:dyDescent="0.25">
      <c r="A9" s="20" t="s">
        <v>11</v>
      </c>
      <c r="B9" s="21" t="s">
        <v>87</v>
      </c>
      <c r="C9" s="20" t="s">
        <v>88</v>
      </c>
      <c r="D9" s="22">
        <v>289</v>
      </c>
      <c r="E9" s="20" t="s">
        <v>16</v>
      </c>
      <c r="F9" s="20" t="s">
        <v>17</v>
      </c>
      <c r="I9" s="20" t="s">
        <v>11</v>
      </c>
      <c r="J9" s="21" t="s">
        <v>91</v>
      </c>
      <c r="K9" s="20" t="s">
        <v>92</v>
      </c>
      <c r="L9" s="22">
        <v>103.1</v>
      </c>
      <c r="M9" s="20" t="s">
        <v>32</v>
      </c>
      <c r="N9" s="20" t="s">
        <v>17</v>
      </c>
    </row>
    <row r="10" spans="1:14" x14ac:dyDescent="0.25">
      <c r="A10" s="20" t="s">
        <v>11</v>
      </c>
      <c r="B10" s="21" t="s">
        <v>89</v>
      </c>
      <c r="C10" s="20" t="s">
        <v>90</v>
      </c>
      <c r="D10" s="22">
        <v>681</v>
      </c>
      <c r="E10" s="20" t="s">
        <v>16</v>
      </c>
      <c r="F10" s="20" t="s">
        <v>17</v>
      </c>
      <c r="I10" s="20" t="s">
        <v>11</v>
      </c>
      <c r="J10" s="21" t="s">
        <v>93</v>
      </c>
      <c r="K10" s="20" t="s">
        <v>94</v>
      </c>
      <c r="L10" s="22">
        <v>81.5</v>
      </c>
      <c r="M10" s="20" t="s">
        <v>32</v>
      </c>
      <c r="N10" s="20" t="s">
        <v>17</v>
      </c>
    </row>
    <row r="11" spans="1:14" x14ac:dyDescent="0.25">
      <c r="A11" s="20" t="s">
        <v>11</v>
      </c>
      <c r="B11" s="21" t="s">
        <v>91</v>
      </c>
      <c r="C11" s="20" t="s">
        <v>92</v>
      </c>
      <c r="D11" s="22">
        <v>1031</v>
      </c>
      <c r="E11" s="20" t="s">
        <v>16</v>
      </c>
      <c r="F11" s="20" t="s">
        <v>17</v>
      </c>
      <c r="I11" s="20" t="s">
        <v>11</v>
      </c>
      <c r="J11" s="21" t="s">
        <v>95</v>
      </c>
      <c r="K11" s="20" t="s">
        <v>96</v>
      </c>
      <c r="L11" s="22">
        <v>25.4</v>
      </c>
      <c r="M11" s="20" t="s">
        <v>32</v>
      </c>
      <c r="N11" s="20" t="s">
        <v>17</v>
      </c>
    </row>
    <row r="12" spans="1:14" x14ac:dyDescent="0.25">
      <c r="A12" s="20" t="s">
        <v>11</v>
      </c>
      <c r="B12" s="21" t="s">
        <v>93</v>
      </c>
      <c r="C12" s="20" t="s">
        <v>94</v>
      </c>
      <c r="D12" s="22">
        <v>815</v>
      </c>
      <c r="E12" s="20" t="s">
        <v>16</v>
      </c>
      <c r="F12" s="20" t="s">
        <v>17</v>
      </c>
      <c r="I12" s="20" t="s">
        <v>11</v>
      </c>
      <c r="J12" s="21" t="s">
        <v>97</v>
      </c>
      <c r="K12" s="20" t="s">
        <v>98</v>
      </c>
      <c r="L12" s="22">
        <v>134.9</v>
      </c>
      <c r="M12" s="20" t="s">
        <v>32</v>
      </c>
      <c r="N12" s="20" t="s">
        <v>17</v>
      </c>
    </row>
    <row r="13" spans="1:14" x14ac:dyDescent="0.25">
      <c r="A13" s="20" t="s">
        <v>11</v>
      </c>
      <c r="B13" s="21" t="s">
        <v>95</v>
      </c>
      <c r="C13" s="20" t="s">
        <v>96</v>
      </c>
      <c r="D13" s="22">
        <v>254</v>
      </c>
      <c r="E13" s="20" t="s">
        <v>16</v>
      </c>
      <c r="F13" s="20" t="s">
        <v>17</v>
      </c>
    </row>
    <row r="14" spans="1:14" x14ac:dyDescent="0.25">
      <c r="A14" s="20" t="s">
        <v>11</v>
      </c>
      <c r="B14" s="21" t="s">
        <v>97</v>
      </c>
      <c r="C14" s="20" t="s">
        <v>98</v>
      </c>
      <c r="D14" s="22">
        <v>1349</v>
      </c>
      <c r="E14" s="20" t="s">
        <v>16</v>
      </c>
      <c r="F14" s="20" t="s">
        <v>17</v>
      </c>
    </row>
    <row r="15" spans="1:14" x14ac:dyDescent="0.25">
      <c r="A15" s="20" t="s">
        <v>12</v>
      </c>
      <c r="B15" s="21" t="s">
        <v>99</v>
      </c>
      <c r="C15" s="20" t="s">
        <v>100</v>
      </c>
      <c r="D15" s="22">
        <v>1171</v>
      </c>
      <c r="E15" s="20" t="s">
        <v>16</v>
      </c>
      <c r="F15" s="20" t="s">
        <v>18</v>
      </c>
    </row>
    <row r="16" spans="1:14" x14ac:dyDescent="0.25">
      <c r="A16" s="20" t="s">
        <v>12</v>
      </c>
      <c r="B16" s="21" t="s">
        <v>101</v>
      </c>
      <c r="C16" s="20" t="s">
        <v>102</v>
      </c>
      <c r="D16" s="22">
        <v>227</v>
      </c>
      <c r="E16" s="20" t="s">
        <v>16</v>
      </c>
      <c r="F16" s="20" t="s">
        <v>18</v>
      </c>
    </row>
    <row r="17" spans="1:6" x14ac:dyDescent="0.25">
      <c r="A17" s="20" t="s">
        <v>12</v>
      </c>
      <c r="B17" s="21" t="s">
        <v>103</v>
      </c>
      <c r="C17" s="20" t="s">
        <v>104</v>
      </c>
      <c r="D17" s="22">
        <v>461</v>
      </c>
      <c r="E17" s="20" t="s">
        <v>16</v>
      </c>
      <c r="F17" s="20" t="s">
        <v>18</v>
      </c>
    </row>
    <row r="18" spans="1:6" x14ac:dyDescent="0.25">
      <c r="A18" s="20" t="s">
        <v>12</v>
      </c>
      <c r="B18" s="21" t="s">
        <v>105</v>
      </c>
      <c r="C18" s="20" t="s">
        <v>106</v>
      </c>
      <c r="D18" s="22">
        <v>1005</v>
      </c>
      <c r="E18" s="20" t="s">
        <v>16</v>
      </c>
      <c r="F18" s="20" t="s">
        <v>18</v>
      </c>
    </row>
    <row r="19" spans="1:6" x14ac:dyDescent="0.25">
      <c r="A19" s="20" t="s">
        <v>31</v>
      </c>
      <c r="B19" s="21" t="s">
        <v>107</v>
      </c>
      <c r="C19" s="20" t="s">
        <v>108</v>
      </c>
      <c r="D19" s="22">
        <v>457</v>
      </c>
      <c r="E19" s="20" t="s">
        <v>16</v>
      </c>
      <c r="F19" s="20" t="s">
        <v>18</v>
      </c>
    </row>
    <row r="20" spans="1:6" x14ac:dyDescent="0.25">
      <c r="A20" s="20" t="s">
        <v>31</v>
      </c>
      <c r="B20" s="21" t="s">
        <v>109</v>
      </c>
      <c r="C20" s="20" t="s">
        <v>110</v>
      </c>
      <c r="D20" s="22">
        <v>666</v>
      </c>
      <c r="E20" s="20" t="s">
        <v>16</v>
      </c>
      <c r="F20" s="20" t="s">
        <v>18</v>
      </c>
    </row>
    <row r="21" spans="1:6" x14ac:dyDescent="0.25">
      <c r="A21" s="20" t="s">
        <v>31</v>
      </c>
      <c r="B21" s="21" t="s">
        <v>111</v>
      </c>
      <c r="C21" s="20" t="s">
        <v>112</v>
      </c>
      <c r="D21" s="22">
        <v>1438</v>
      </c>
      <c r="E21" s="20" t="s">
        <v>16</v>
      </c>
      <c r="F21" s="20" t="s">
        <v>18</v>
      </c>
    </row>
    <row r="22" spans="1:6" x14ac:dyDescent="0.25">
      <c r="A22" s="20" t="s">
        <v>31</v>
      </c>
      <c r="B22" s="21" t="s">
        <v>113</v>
      </c>
      <c r="C22" s="20" t="s">
        <v>114</v>
      </c>
      <c r="D22" s="22">
        <v>419</v>
      </c>
      <c r="E22" s="20" t="s">
        <v>16</v>
      </c>
      <c r="F22" s="20" t="s">
        <v>18</v>
      </c>
    </row>
    <row r="23" spans="1:6" x14ac:dyDescent="0.25">
      <c r="A23" s="20" t="s">
        <v>31</v>
      </c>
      <c r="B23" s="21" t="s">
        <v>115</v>
      </c>
      <c r="C23" s="20" t="s">
        <v>116</v>
      </c>
      <c r="D23" s="22">
        <v>703</v>
      </c>
      <c r="E23" s="20" t="s">
        <v>16</v>
      </c>
      <c r="F23" s="20" t="s">
        <v>18</v>
      </c>
    </row>
    <row r="24" spans="1:6" x14ac:dyDescent="0.25">
      <c r="A24" s="20" t="s">
        <v>13</v>
      </c>
      <c r="B24" s="21" t="s">
        <v>117</v>
      </c>
      <c r="C24" s="20" t="s">
        <v>118</v>
      </c>
      <c r="D24" s="22">
        <v>1585</v>
      </c>
      <c r="E24" s="20" t="s">
        <v>16</v>
      </c>
      <c r="F24" s="20" t="s">
        <v>18</v>
      </c>
    </row>
    <row r="25" spans="1:6" x14ac:dyDescent="0.25">
      <c r="A25" s="20" t="s">
        <v>13</v>
      </c>
      <c r="B25" s="21" t="s">
        <v>119</v>
      </c>
      <c r="C25" s="20" t="s">
        <v>120</v>
      </c>
      <c r="D25" s="22">
        <v>537</v>
      </c>
      <c r="E25" s="20" t="s">
        <v>16</v>
      </c>
      <c r="F25" s="20" t="s">
        <v>18</v>
      </c>
    </row>
    <row r="26" spans="1:6" x14ac:dyDescent="0.25">
      <c r="A26" s="20" t="s">
        <v>13</v>
      </c>
      <c r="B26" s="21" t="s">
        <v>121</v>
      </c>
      <c r="C26" s="20" t="s">
        <v>122</v>
      </c>
      <c r="D26" s="22">
        <v>444</v>
      </c>
      <c r="E26" s="20" t="s">
        <v>16</v>
      </c>
      <c r="F26" s="20" t="s">
        <v>18</v>
      </c>
    </row>
    <row r="27" spans="1:6" x14ac:dyDescent="0.25">
      <c r="A27" s="20" t="s">
        <v>13</v>
      </c>
      <c r="B27" s="21" t="s">
        <v>123</v>
      </c>
      <c r="C27" s="20" t="s">
        <v>124</v>
      </c>
      <c r="D27" s="22">
        <v>1483</v>
      </c>
      <c r="E27" s="20" t="s">
        <v>16</v>
      </c>
      <c r="F27" s="20" t="s">
        <v>18</v>
      </c>
    </row>
    <row r="28" spans="1:6" x14ac:dyDescent="0.25">
      <c r="A28" s="20" t="s">
        <v>13</v>
      </c>
      <c r="B28" s="21" t="s">
        <v>125</v>
      </c>
      <c r="C28" s="20" t="s">
        <v>126</v>
      </c>
      <c r="D28" s="22">
        <v>1082</v>
      </c>
      <c r="E28" s="20" t="s">
        <v>16</v>
      </c>
      <c r="F28" s="20" t="s">
        <v>18</v>
      </c>
    </row>
    <row r="29" spans="1:6" x14ac:dyDescent="0.25">
      <c r="A29" s="20" t="s">
        <v>13</v>
      </c>
      <c r="B29" s="21" t="s">
        <v>127</v>
      </c>
      <c r="C29" s="20" t="s">
        <v>128</v>
      </c>
      <c r="D29" s="22">
        <v>148</v>
      </c>
      <c r="E29" s="20" t="s">
        <v>16</v>
      </c>
      <c r="F29" s="20" t="s">
        <v>18</v>
      </c>
    </row>
    <row r="30" spans="1:6" x14ac:dyDescent="0.25">
      <c r="A30" s="20" t="s">
        <v>13</v>
      </c>
      <c r="B30" s="21" t="s">
        <v>129</v>
      </c>
      <c r="C30" s="20" t="s">
        <v>130</v>
      </c>
      <c r="D30" s="22">
        <v>1097</v>
      </c>
      <c r="E30" s="20" t="s">
        <v>16</v>
      </c>
      <c r="F30" s="20" t="s">
        <v>18</v>
      </c>
    </row>
    <row r="31" spans="1:6" x14ac:dyDescent="0.25">
      <c r="A31" s="20" t="s">
        <v>13</v>
      </c>
      <c r="B31" s="21" t="s">
        <v>131</v>
      </c>
      <c r="C31" s="20" t="s">
        <v>132</v>
      </c>
      <c r="D31" s="22">
        <v>508</v>
      </c>
      <c r="E31" s="20" t="s">
        <v>16</v>
      </c>
      <c r="F31" s="20" t="s">
        <v>18</v>
      </c>
    </row>
    <row r="32" spans="1:6" x14ac:dyDescent="0.25">
      <c r="A32" s="20" t="s">
        <v>13</v>
      </c>
      <c r="B32" s="21" t="s">
        <v>133</v>
      </c>
      <c r="C32" s="20" t="s">
        <v>134</v>
      </c>
      <c r="D32" s="22">
        <v>980</v>
      </c>
      <c r="E32" s="20" t="s">
        <v>16</v>
      </c>
      <c r="F32" s="20" t="s">
        <v>18</v>
      </c>
    </row>
    <row r="33" spans="1:6" x14ac:dyDescent="0.25">
      <c r="A33" s="20" t="s">
        <v>13</v>
      </c>
      <c r="B33" s="21" t="s">
        <v>135</v>
      </c>
      <c r="C33" s="20" t="s">
        <v>136</v>
      </c>
      <c r="D33" s="22">
        <v>64</v>
      </c>
      <c r="E33" s="20" t="s">
        <v>16</v>
      </c>
      <c r="F33" s="20" t="s">
        <v>18</v>
      </c>
    </row>
    <row r="34" spans="1:6" x14ac:dyDescent="0.25">
      <c r="A34" s="20" t="s">
        <v>13</v>
      </c>
      <c r="B34" s="21" t="s">
        <v>137</v>
      </c>
      <c r="C34" s="20" t="s">
        <v>138</v>
      </c>
      <c r="D34" s="22">
        <v>110</v>
      </c>
      <c r="E34" s="20" t="s">
        <v>16</v>
      </c>
      <c r="F34" s="20" t="s">
        <v>18</v>
      </c>
    </row>
    <row r="35" spans="1:6" x14ac:dyDescent="0.25">
      <c r="A35" s="20" t="s">
        <v>13</v>
      </c>
      <c r="B35" s="21" t="s">
        <v>139</v>
      </c>
      <c r="C35" s="20" t="s">
        <v>140</v>
      </c>
      <c r="D35" s="22">
        <v>1680</v>
      </c>
      <c r="E35" s="20" t="s">
        <v>16</v>
      </c>
      <c r="F35" s="20" t="s">
        <v>18</v>
      </c>
    </row>
    <row r="36" spans="1:6" x14ac:dyDescent="0.25">
      <c r="A36" s="20" t="s">
        <v>13</v>
      </c>
      <c r="B36" s="21" t="s">
        <v>141</v>
      </c>
      <c r="C36" s="20" t="s">
        <v>142</v>
      </c>
      <c r="D36" s="22">
        <v>510</v>
      </c>
      <c r="E36" s="20" t="s">
        <v>16</v>
      </c>
      <c r="F36" s="20" t="s">
        <v>18</v>
      </c>
    </row>
    <row r="37" spans="1:6" x14ac:dyDescent="0.25">
      <c r="A37" s="20" t="s">
        <v>13</v>
      </c>
      <c r="B37" s="21" t="s">
        <v>143</v>
      </c>
      <c r="C37" s="20" t="s">
        <v>144</v>
      </c>
      <c r="D37" s="22">
        <v>1481</v>
      </c>
      <c r="E37" s="20" t="s">
        <v>16</v>
      </c>
      <c r="F37" s="20" t="s">
        <v>18</v>
      </c>
    </row>
    <row r="38" spans="1:6" x14ac:dyDescent="0.25">
      <c r="A38" s="20" t="s">
        <v>13</v>
      </c>
      <c r="B38" s="21" t="s">
        <v>145</v>
      </c>
      <c r="C38" s="20" t="s">
        <v>146</v>
      </c>
      <c r="D38" s="22">
        <v>1763</v>
      </c>
      <c r="E38" s="20" t="s">
        <v>16</v>
      </c>
      <c r="F38" s="20" t="s">
        <v>18</v>
      </c>
    </row>
    <row r="39" spans="1:6" x14ac:dyDescent="0.25">
      <c r="A39" s="20" t="s">
        <v>13</v>
      </c>
      <c r="B39" s="21" t="s">
        <v>147</v>
      </c>
      <c r="C39" s="20" t="s">
        <v>148</v>
      </c>
      <c r="D39" s="22">
        <v>1578</v>
      </c>
      <c r="E39" s="20" t="s">
        <v>16</v>
      </c>
      <c r="F39" s="20" t="s">
        <v>18</v>
      </c>
    </row>
    <row r="40" spans="1:6" x14ac:dyDescent="0.25">
      <c r="A40" s="20" t="s">
        <v>14</v>
      </c>
      <c r="B40" s="21" t="s">
        <v>149</v>
      </c>
      <c r="C40" s="20" t="s">
        <v>150</v>
      </c>
      <c r="D40" s="22">
        <v>359</v>
      </c>
      <c r="E40" s="20" t="s">
        <v>16</v>
      </c>
      <c r="F40" s="20" t="s">
        <v>18</v>
      </c>
    </row>
    <row r="41" spans="1:6" x14ac:dyDescent="0.25">
      <c r="A41" s="20" t="s">
        <v>14</v>
      </c>
      <c r="B41" s="21" t="s">
        <v>151</v>
      </c>
      <c r="C41" s="20" t="s">
        <v>152</v>
      </c>
      <c r="D41" s="22">
        <v>1176</v>
      </c>
      <c r="E41" s="20" t="s">
        <v>16</v>
      </c>
      <c r="F41" s="20" t="s">
        <v>18</v>
      </c>
    </row>
    <row r="42" spans="1:6" x14ac:dyDescent="0.25">
      <c r="A42" s="20" t="s">
        <v>14</v>
      </c>
      <c r="B42" s="21" t="s">
        <v>153</v>
      </c>
      <c r="C42" s="20" t="s">
        <v>154</v>
      </c>
      <c r="D42" s="22">
        <v>556</v>
      </c>
      <c r="E42" s="20" t="s">
        <v>16</v>
      </c>
      <c r="F42" s="20" t="s">
        <v>18</v>
      </c>
    </row>
    <row r="43" spans="1:6" x14ac:dyDescent="0.25">
      <c r="A43" s="20" t="s">
        <v>14</v>
      </c>
      <c r="B43" s="21" t="s">
        <v>155</v>
      </c>
      <c r="C43" s="20" t="s">
        <v>156</v>
      </c>
      <c r="D43" s="22">
        <v>1298</v>
      </c>
      <c r="E43" s="20" t="s">
        <v>16</v>
      </c>
      <c r="F43" s="20" t="s">
        <v>18</v>
      </c>
    </row>
    <row r="44" spans="1:6" x14ac:dyDescent="0.25">
      <c r="A44" s="20" t="s">
        <v>14</v>
      </c>
      <c r="B44" s="21" t="s">
        <v>157</v>
      </c>
      <c r="C44" s="20" t="s">
        <v>158</v>
      </c>
      <c r="D44" s="22">
        <v>717</v>
      </c>
      <c r="E44" s="20" t="s">
        <v>16</v>
      </c>
      <c r="F44" s="20" t="s">
        <v>18</v>
      </c>
    </row>
    <row r="45" spans="1:6" x14ac:dyDescent="0.25">
      <c r="A45" s="20" t="s">
        <v>14</v>
      </c>
      <c r="B45" s="21" t="s">
        <v>159</v>
      </c>
      <c r="C45" s="20" t="s">
        <v>160</v>
      </c>
      <c r="D45" s="22">
        <v>113</v>
      </c>
      <c r="E45" s="20" t="s">
        <v>16</v>
      </c>
      <c r="F45" s="20" t="s">
        <v>18</v>
      </c>
    </row>
    <row r="46" spans="1:6" x14ac:dyDescent="0.25">
      <c r="A46" s="20" t="s">
        <v>14</v>
      </c>
      <c r="B46" s="21" t="s">
        <v>161</v>
      </c>
      <c r="C46" s="20" t="s">
        <v>162</v>
      </c>
      <c r="D46" s="22">
        <v>362</v>
      </c>
      <c r="E46" s="20" t="s">
        <v>16</v>
      </c>
      <c r="F46" s="20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76B-4B89-2B4C-B69F-04B690094127}">
  <dimension ref="A1:D46"/>
  <sheetViews>
    <sheetView workbookViewId="0">
      <selection activeCell="C11" sqref="C11"/>
    </sheetView>
  </sheetViews>
  <sheetFormatPr defaultColWidth="11.42578125" defaultRowHeight="15" x14ac:dyDescent="0.25"/>
  <cols>
    <col min="1" max="1" width="14.42578125" customWidth="1"/>
    <col min="2" max="2" width="13.85546875" customWidth="1"/>
    <col min="4" max="4" width="16.42578125" customWidth="1"/>
  </cols>
  <sheetData>
    <row r="1" spans="1:4" ht="15.75" x14ac:dyDescent="0.25">
      <c r="A1" s="18" t="s">
        <v>10</v>
      </c>
      <c r="B1" s="18" t="s">
        <v>0</v>
      </c>
      <c r="C1" s="18" t="s">
        <v>1</v>
      </c>
      <c r="D1" s="18" t="s">
        <v>2</v>
      </c>
    </row>
    <row r="2" spans="1:4" x14ac:dyDescent="0.25">
      <c r="B2" t="s">
        <v>11</v>
      </c>
      <c r="C2" s="7" t="s">
        <v>74</v>
      </c>
      <c r="D2" t="s">
        <v>75</v>
      </c>
    </row>
    <row r="3" spans="1:4" x14ac:dyDescent="0.25">
      <c r="B3" t="s">
        <v>11</v>
      </c>
      <c r="C3" s="7" t="s">
        <v>76</v>
      </c>
      <c r="D3" t="s">
        <v>77</v>
      </c>
    </row>
    <row r="4" spans="1:4" x14ac:dyDescent="0.25">
      <c r="B4" t="s">
        <v>11</v>
      </c>
      <c r="C4" s="7" t="s">
        <v>78</v>
      </c>
      <c r="D4" t="s">
        <v>79</v>
      </c>
    </row>
    <row r="5" spans="1:4" x14ac:dyDescent="0.25">
      <c r="B5" t="s">
        <v>11</v>
      </c>
      <c r="C5" s="7" t="s">
        <v>80</v>
      </c>
      <c r="D5" t="s">
        <v>81</v>
      </c>
    </row>
    <row r="6" spans="1:4" x14ac:dyDescent="0.25">
      <c r="B6" t="s">
        <v>11</v>
      </c>
      <c r="C6" s="7" t="s">
        <v>15</v>
      </c>
      <c r="D6" t="s">
        <v>82</v>
      </c>
    </row>
    <row r="7" spans="1:4" x14ac:dyDescent="0.25">
      <c r="B7" t="s">
        <v>11</v>
      </c>
      <c r="C7" s="7" t="s">
        <v>83</v>
      </c>
      <c r="D7" t="s">
        <v>84</v>
      </c>
    </row>
    <row r="8" spans="1:4" x14ac:dyDescent="0.25">
      <c r="B8" t="s">
        <v>11</v>
      </c>
      <c r="C8" s="7" t="s">
        <v>85</v>
      </c>
      <c r="D8" t="s">
        <v>86</v>
      </c>
    </row>
    <row r="9" spans="1:4" x14ac:dyDescent="0.25">
      <c r="B9" t="s">
        <v>11</v>
      </c>
      <c r="C9" s="7" t="s">
        <v>87</v>
      </c>
      <c r="D9" t="s">
        <v>88</v>
      </c>
    </row>
    <row r="10" spans="1:4" x14ac:dyDescent="0.25">
      <c r="B10" t="s">
        <v>11</v>
      </c>
      <c r="C10" s="7" t="s">
        <v>89</v>
      </c>
      <c r="D10" t="s">
        <v>90</v>
      </c>
    </row>
    <row r="11" spans="1:4" x14ac:dyDescent="0.25">
      <c r="B11" t="s">
        <v>11</v>
      </c>
      <c r="C11" s="7" t="s">
        <v>91</v>
      </c>
      <c r="D11" t="s">
        <v>92</v>
      </c>
    </row>
    <row r="12" spans="1:4" x14ac:dyDescent="0.25">
      <c r="B12" t="s">
        <v>11</v>
      </c>
      <c r="C12" s="7" t="s">
        <v>93</v>
      </c>
      <c r="D12" t="s">
        <v>94</v>
      </c>
    </row>
    <row r="13" spans="1:4" x14ac:dyDescent="0.25">
      <c r="B13" t="s">
        <v>11</v>
      </c>
      <c r="C13" s="7" t="s">
        <v>95</v>
      </c>
      <c r="D13" t="s">
        <v>96</v>
      </c>
    </row>
    <row r="14" spans="1:4" x14ac:dyDescent="0.25">
      <c r="B14" t="s">
        <v>11</v>
      </c>
      <c r="C14" s="7" t="s">
        <v>97</v>
      </c>
      <c r="D14" t="s">
        <v>98</v>
      </c>
    </row>
    <row r="15" spans="1:4" x14ac:dyDescent="0.25">
      <c r="B15" t="s">
        <v>12</v>
      </c>
      <c r="C15" s="7" t="s">
        <v>99</v>
      </c>
      <c r="D15" t="s">
        <v>100</v>
      </c>
    </row>
    <row r="16" spans="1:4" x14ac:dyDescent="0.25">
      <c r="B16" t="s">
        <v>12</v>
      </c>
      <c r="C16" s="7" t="s">
        <v>101</v>
      </c>
      <c r="D16" t="s">
        <v>102</v>
      </c>
    </row>
    <row r="17" spans="2:4" x14ac:dyDescent="0.25">
      <c r="B17" t="s">
        <v>12</v>
      </c>
      <c r="C17" s="7" t="s">
        <v>103</v>
      </c>
      <c r="D17" t="s">
        <v>104</v>
      </c>
    </row>
    <row r="18" spans="2:4" x14ac:dyDescent="0.25">
      <c r="B18" t="s">
        <v>12</v>
      </c>
      <c r="C18" s="7" t="s">
        <v>105</v>
      </c>
      <c r="D18" t="s">
        <v>106</v>
      </c>
    </row>
    <row r="19" spans="2:4" x14ac:dyDescent="0.25">
      <c r="B19" t="s">
        <v>31</v>
      </c>
      <c r="C19" s="7" t="s">
        <v>107</v>
      </c>
      <c r="D19" t="s">
        <v>108</v>
      </c>
    </row>
    <row r="20" spans="2:4" x14ac:dyDescent="0.25">
      <c r="B20" t="s">
        <v>31</v>
      </c>
      <c r="C20" s="7" t="s">
        <v>109</v>
      </c>
      <c r="D20" t="s">
        <v>110</v>
      </c>
    </row>
    <row r="21" spans="2:4" x14ac:dyDescent="0.25">
      <c r="B21" t="s">
        <v>31</v>
      </c>
      <c r="C21" s="7" t="s">
        <v>111</v>
      </c>
      <c r="D21" t="s">
        <v>112</v>
      </c>
    </row>
    <row r="22" spans="2:4" x14ac:dyDescent="0.25">
      <c r="B22" t="s">
        <v>31</v>
      </c>
      <c r="C22" s="7" t="s">
        <v>113</v>
      </c>
      <c r="D22" t="s">
        <v>114</v>
      </c>
    </row>
    <row r="23" spans="2:4" x14ac:dyDescent="0.25">
      <c r="B23" t="s">
        <v>31</v>
      </c>
      <c r="C23" s="7" t="s">
        <v>115</v>
      </c>
      <c r="D23" t="s">
        <v>116</v>
      </c>
    </row>
    <row r="24" spans="2:4" x14ac:dyDescent="0.25">
      <c r="B24" t="s">
        <v>13</v>
      </c>
      <c r="C24" s="7" t="s">
        <v>117</v>
      </c>
      <c r="D24" t="s">
        <v>118</v>
      </c>
    </row>
    <row r="25" spans="2:4" x14ac:dyDescent="0.25">
      <c r="B25" t="s">
        <v>13</v>
      </c>
      <c r="C25" s="7" t="s">
        <v>119</v>
      </c>
      <c r="D25" t="s">
        <v>120</v>
      </c>
    </row>
    <row r="26" spans="2:4" x14ac:dyDescent="0.25">
      <c r="B26" t="s">
        <v>13</v>
      </c>
      <c r="C26" s="7" t="s">
        <v>121</v>
      </c>
      <c r="D26" t="s">
        <v>122</v>
      </c>
    </row>
    <row r="27" spans="2:4" x14ac:dyDescent="0.25">
      <c r="B27" t="s">
        <v>13</v>
      </c>
      <c r="C27" s="7" t="s">
        <v>123</v>
      </c>
      <c r="D27" t="s">
        <v>124</v>
      </c>
    </row>
    <row r="28" spans="2:4" x14ac:dyDescent="0.25">
      <c r="B28" t="s">
        <v>13</v>
      </c>
      <c r="C28" s="7" t="s">
        <v>125</v>
      </c>
      <c r="D28" t="s">
        <v>126</v>
      </c>
    </row>
    <row r="29" spans="2:4" x14ac:dyDescent="0.25">
      <c r="B29" t="s">
        <v>13</v>
      </c>
      <c r="C29" s="7" t="s">
        <v>127</v>
      </c>
      <c r="D29" t="s">
        <v>128</v>
      </c>
    </row>
    <row r="30" spans="2:4" x14ac:dyDescent="0.25">
      <c r="B30" t="s">
        <v>13</v>
      </c>
      <c r="C30" s="7" t="s">
        <v>129</v>
      </c>
      <c r="D30" t="s">
        <v>130</v>
      </c>
    </row>
    <row r="31" spans="2:4" x14ac:dyDescent="0.25">
      <c r="B31" t="s">
        <v>13</v>
      </c>
      <c r="C31" s="7" t="s">
        <v>131</v>
      </c>
      <c r="D31" t="s">
        <v>132</v>
      </c>
    </row>
    <row r="32" spans="2:4" x14ac:dyDescent="0.25">
      <c r="B32" t="s">
        <v>13</v>
      </c>
      <c r="C32" s="7" t="s">
        <v>133</v>
      </c>
      <c r="D32" t="s">
        <v>134</v>
      </c>
    </row>
    <row r="33" spans="2:4" x14ac:dyDescent="0.25">
      <c r="B33" t="s">
        <v>13</v>
      </c>
      <c r="C33" s="7" t="s">
        <v>135</v>
      </c>
      <c r="D33" t="s">
        <v>136</v>
      </c>
    </row>
    <row r="34" spans="2:4" x14ac:dyDescent="0.25">
      <c r="B34" t="s">
        <v>13</v>
      </c>
      <c r="C34" s="7" t="s">
        <v>137</v>
      </c>
      <c r="D34" t="s">
        <v>138</v>
      </c>
    </row>
    <row r="35" spans="2:4" x14ac:dyDescent="0.25">
      <c r="B35" t="s">
        <v>13</v>
      </c>
      <c r="C35" s="7" t="s">
        <v>139</v>
      </c>
      <c r="D35" t="s">
        <v>140</v>
      </c>
    </row>
    <row r="36" spans="2:4" x14ac:dyDescent="0.25">
      <c r="B36" t="s">
        <v>13</v>
      </c>
      <c r="C36" s="7" t="s">
        <v>141</v>
      </c>
      <c r="D36" t="s">
        <v>142</v>
      </c>
    </row>
    <row r="37" spans="2:4" x14ac:dyDescent="0.25">
      <c r="B37" t="s">
        <v>13</v>
      </c>
      <c r="C37" s="7" t="s">
        <v>143</v>
      </c>
      <c r="D37" t="s">
        <v>144</v>
      </c>
    </row>
    <row r="38" spans="2:4" x14ac:dyDescent="0.25">
      <c r="B38" t="s">
        <v>13</v>
      </c>
      <c r="C38" s="7" t="s">
        <v>145</v>
      </c>
      <c r="D38" t="s">
        <v>146</v>
      </c>
    </row>
    <row r="39" spans="2:4" x14ac:dyDescent="0.25">
      <c r="B39" t="s">
        <v>13</v>
      </c>
      <c r="C39" s="7" t="s">
        <v>147</v>
      </c>
      <c r="D39" t="s">
        <v>148</v>
      </c>
    </row>
    <row r="40" spans="2:4" x14ac:dyDescent="0.25">
      <c r="B40" t="s">
        <v>14</v>
      </c>
      <c r="C40" s="7" t="s">
        <v>149</v>
      </c>
      <c r="D40" t="s">
        <v>150</v>
      </c>
    </row>
    <row r="41" spans="2:4" x14ac:dyDescent="0.25">
      <c r="B41" t="s">
        <v>14</v>
      </c>
      <c r="C41" s="7" t="s">
        <v>151</v>
      </c>
      <c r="D41" t="s">
        <v>152</v>
      </c>
    </row>
    <row r="42" spans="2:4" x14ac:dyDescent="0.25">
      <c r="B42" t="s">
        <v>14</v>
      </c>
      <c r="C42" s="7" t="s">
        <v>153</v>
      </c>
      <c r="D42" t="s">
        <v>154</v>
      </c>
    </row>
    <row r="43" spans="2:4" x14ac:dyDescent="0.25">
      <c r="B43" t="s">
        <v>14</v>
      </c>
      <c r="C43" s="7" t="s">
        <v>155</v>
      </c>
      <c r="D43" t="s">
        <v>156</v>
      </c>
    </row>
    <row r="44" spans="2:4" x14ac:dyDescent="0.25">
      <c r="B44" t="s">
        <v>14</v>
      </c>
      <c r="C44" s="7" t="s">
        <v>157</v>
      </c>
      <c r="D44" t="s">
        <v>158</v>
      </c>
    </row>
    <row r="45" spans="2:4" x14ac:dyDescent="0.25">
      <c r="B45" t="s">
        <v>14</v>
      </c>
      <c r="C45" s="7" t="s">
        <v>159</v>
      </c>
      <c r="D45" t="s">
        <v>160</v>
      </c>
    </row>
    <row r="46" spans="2:4" x14ac:dyDescent="0.25">
      <c r="B46" t="s">
        <v>14</v>
      </c>
      <c r="C46" s="7" t="s">
        <v>161</v>
      </c>
      <c r="D46" t="s">
        <v>162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_TYPE xmlns="dc163805-5a8a-4bac-b0c0-60a9bfcd087a" xsi:nil="true"/>
    <REF_YEAR__x002f__ANNEE xmlns="dc163805-5a8a-4bac-b0c0-60a9bfcd087a">2023</REF_YEAR__x002f__ANNEE>
    <PERIOD xmlns="dc163805-5a8a-4bac-b0c0-60a9bfcd087a" xsi:nil="true"/>
    <DEPT_AUTOR xmlns="dc163805-5a8a-4bac-b0c0-60a9bfcd087a" xsi:nil="true"/>
    <TaxKeywordTaxHTField xmlns="dc163805-5a8a-4bac-b0c0-60a9bfcd087a">
      <Terms xmlns="http://schemas.microsoft.com/office/infopath/2007/PartnerControls"/>
    </TaxKeywordTaxHTField>
    <TARGET_AUDIENCE__x002f__DESTINATAIRE xmlns="dc163805-5a8a-4bac-b0c0-60a9bfcd087a" xsi:nil="true"/>
    <DOC_STATUS xmlns="dc163805-5a8a-4bac-b0c0-60a9bfcd087a">Update Version/Version Actuelle</DOC_STATUS>
    <Remark xmlns="7e83e573-fb93-452c-9f3b-7b87af48cc96" xsi:nil="true"/>
    <DOC_LANGUAGE xmlns="dc163805-5a8a-4bac-b0c0-60a9bfcd087a">
      <Value>French (France)</Value>
    </DOC_LANGUAGE>
    <MARKET__x002f__MARCHE xmlns="dc163805-5a8a-4bac-b0c0-60a9bfcd087a" xsi:nil="true"/>
    <TAG_2 xmlns="dc163805-5a8a-4bac-b0c0-60a9bfcd087a" xsi:nil="true"/>
    <PRODUCT__x002f__RANGE xmlns="dc163805-5a8a-4bac-b0c0-60a9bfcd087a">
      <Value>-</Value>
    </PRODUCT__x002f__RANGE>
    <IDENTIFICATION_REFERENCE xmlns="dc163805-5a8a-4bac-b0c0-60a9bfcd087a" xsi:nil="true"/>
    <DOMAIN xmlns="dc163805-5a8a-4bac-b0c0-60a9bfcd087a" xsi:nil="true"/>
    <DOC_DESCRIPTION xmlns="dc163805-5a8a-4bac-b0c0-60a9bfcd087a" xsi:nil="true"/>
    <lcf76f155ced4ddcb4097134ff3c332f xmlns="7e83e573-fb93-452c-9f3b-7b87af48cc96">
      <Terms xmlns="http://schemas.microsoft.com/office/infopath/2007/PartnerControls"/>
    </lcf76f155ced4ddcb4097134ff3c332f>
    <TaxCatchAll xmlns="dc163805-5a8a-4bac-b0c0-60a9bfcd087a" xsi:nil="true"/>
    <TAG_1 xmlns="dc163805-5a8a-4bac-b0c0-60a9bfcd08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5B960C90A7443AE9769C1277710FF" ma:contentTypeVersion="36" ma:contentTypeDescription="Create a new document." ma:contentTypeScope="" ma:versionID="ba1ec58bf0b30ed83898e540bcef4168">
  <xsd:schema xmlns:xsd="http://www.w3.org/2001/XMLSchema" xmlns:xs="http://www.w3.org/2001/XMLSchema" xmlns:p="http://schemas.microsoft.com/office/2006/metadata/properties" xmlns:ns2="dc163805-5a8a-4bac-b0c0-60a9bfcd087a" xmlns:ns3="7e83e573-fb93-452c-9f3b-7b87af48cc96" targetNamespace="http://schemas.microsoft.com/office/2006/metadata/properties" ma:root="true" ma:fieldsID="c72d53073e6a1b4c183bb84394528e2c" ns2:_="" ns3:_="">
    <xsd:import namespace="dc163805-5a8a-4bac-b0c0-60a9bfcd087a"/>
    <xsd:import namespace="7e83e573-fb93-452c-9f3b-7b87af48cc96"/>
    <xsd:element name="properties">
      <xsd:complexType>
        <xsd:sequence>
          <xsd:element name="documentManagement">
            <xsd:complexType>
              <xsd:all>
                <xsd:element ref="ns2:DOC_LANGUAGE" minOccurs="0"/>
                <xsd:element ref="ns2:DEPT_AUTOR" minOccurs="0"/>
                <xsd:element ref="ns2:TARGET_AUDIENCE__x002f__DESTINATAIRE" minOccurs="0"/>
                <xsd:element ref="ns2:DOMAIN" minOccurs="0"/>
                <xsd:element ref="ns2:TAG_1" minOccurs="0"/>
                <xsd:element ref="ns2:TAG_2" minOccurs="0"/>
                <xsd:element ref="ns2:DOC_TYPE" minOccurs="0"/>
                <xsd:element ref="ns2:PRODUCT__x002f__RANGE" minOccurs="0"/>
                <xsd:element ref="ns2:MARKET__x002f__MARCHE" minOccurs="0"/>
                <xsd:element ref="ns2:REF_YEAR__x002f__ANNEE" minOccurs="0"/>
                <xsd:element ref="ns2:PERIOD" minOccurs="0"/>
                <xsd:element ref="ns2:IDENTIFICATION_REFERENCE" minOccurs="0"/>
                <xsd:element ref="ns2:DOC_DESCRIPTION" minOccurs="0"/>
                <xsd:element ref="ns2:DOC_STATUS"/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Remark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63805-5a8a-4bac-b0c0-60a9bfcd087a" elementFormDefault="qualified">
    <xsd:import namespace="http://schemas.microsoft.com/office/2006/documentManagement/types"/>
    <xsd:import namespace="http://schemas.microsoft.com/office/infopath/2007/PartnerControls"/>
    <xsd:element name="DOC_LANGUAGE" ma:index="2" nillable="true" ma:displayName="DOC_LANGUAGE" ma:default="French (France)" ma:internalName="DOC_LANGUAG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rabic (Saudi Arabia)"/>
                    <xsd:enumeration value="Bulgarian (Bulgaria)"/>
                    <xsd:enumeration value="Chinese (Hong Kong S.A.R.)"/>
                    <xsd:enumeration value="Chinese (China)"/>
                    <xsd:enumeration value="Chinese (Taiwan)"/>
                    <xsd:enumeration value="Croatian (Croatia)"/>
                    <xsd:enumeration value="Czech (Czech Republic)"/>
                    <xsd:enumeration value="Danish (Denmark)"/>
                    <xsd:enumeration value="Dutch (Netherlands)"/>
                    <xsd:enumeration value="English"/>
                    <xsd:enumeration value="Estonian (Estonia)"/>
                    <xsd:enumeration value="Finnish (Finland)"/>
                    <xsd:enumeration value="French (France)"/>
                    <xsd:enumeration value="German (Germany)"/>
                    <xsd:enumeration value="Greek (Greece)"/>
                    <xsd:enumeration value="Hebrew (Israel)"/>
                    <xsd:enumeration value="Hindi (India)"/>
                    <xsd:enumeration value="Hungarian (Hungary)"/>
                    <xsd:enumeration value="Indonesian (Indonesia)"/>
                    <xsd:enumeration value="Italian (Italy)"/>
                    <xsd:enumeration value="Japanese (Japan)"/>
                    <xsd:enumeration value="Korean (Korea)"/>
                    <xsd:enumeration value="Latvian (Latvia)"/>
                    <xsd:enumeration value="Lithuanian (Lithuania)"/>
                    <xsd:enumeration value="Malay (Malaysia)"/>
                    <xsd:enumeration value="Norwegian (Bokmal) (Norway)"/>
                    <xsd:enumeration value="Polish (Poland)"/>
                    <xsd:enumeration value="Portuguese (Brazil)"/>
                    <xsd:enumeration value="Portuguese (Portugal)"/>
                    <xsd:enumeration value="Romanian (Romania)"/>
                    <xsd:enumeration value="Russian (Russia)"/>
                    <xsd:enumeration value="Serbian (Latin) (Serbia)"/>
                    <xsd:enumeration value="Slovak (Slovakia)"/>
                    <xsd:enumeration value="Slovenian (Slovenia)"/>
                    <xsd:enumeration value="Spanish (Spain)"/>
                    <xsd:enumeration value="Swedish (Sweden)"/>
                    <xsd:enumeration value="Thai (Thailand)"/>
                    <xsd:enumeration value="Turkish (Turkey)"/>
                    <xsd:enumeration value="Ukrainian (Ukraine)"/>
                    <xsd:enumeration value="Urdu (Islamic Republic of Pakistan)"/>
                    <xsd:enumeration value="Vietnamese (Vietnam)"/>
                  </xsd:restriction>
                </xsd:simpleType>
              </xsd:element>
            </xsd:sequence>
          </xsd:extension>
        </xsd:complexContent>
      </xsd:complexType>
    </xsd:element>
    <xsd:element name="DEPT_AUTOR" ma:index="3" nillable="true" ma:displayName="DEPT_AUTOR" ma:description="Quel service est à l'origine du doc ?" ma:format="Dropdown" ma:internalName="DEPT_AUTOR">
      <xsd:simpleType>
        <xsd:restriction base="dms:Choice">
          <xsd:enumeration value="MS-LUB"/>
          <xsd:enumeration value="MS-LUB-MAR"/>
          <xsd:enumeration value="MS-LUB-MAR-ACF Adm. Client Fournisseur"/>
          <xsd:enumeration value="MS-LUB-MAR-AME Amérique"/>
          <xsd:enumeration value="MS-LUB-MAR-AP Asie Pacifique"/>
          <xsd:enumeration value="MS-LUB-MAR-ESMOIA Eur Sud- mOyen Orient- Afriq-inde"/>
          <xsd:enumeration value="MS-LUB-MAR-EUR Europe"/>
          <xsd:enumeration value="MS-LUB-MAR-LS Log et sécurité"/>
          <xsd:enumeration value="MS-LUB-MAR-MKT Marketing et analyse"/>
          <xsd:enumeration value="MS-LUB-MAR-TECH"/>
          <xsd:enumeration value="MS-LUB-AME-LUB&amp;SPE"/>
          <xsd:enumeration value="MS-LUB-AS-LUB"/>
          <xsd:enumeration value="MS-LUB-AUT"/>
          <xsd:enumeration value="MS-LUB-AUT-ANAC"/>
          <xsd:enumeration value="MS-LUB-AUT-COM"/>
          <xsd:enumeration value="MS-LUB-AUT-COM Ext Auto"/>
          <xsd:enumeration value="MS-LUB-AUT-COM Ext Indus"/>
          <xsd:enumeration value="MS-LUB-AUT-COM INT"/>
          <xsd:enumeration value="MS-LUB-AUT-DPA Dev Pdt"/>
          <xsd:enumeration value="MS-LUB-AUT-DPA Dev Pdt Ato motive"/>
          <xsd:enumeration value="MS-LUB-AUT-DPA OEM"/>
          <xsd:enumeration value="MS-LUB-AUT-MPC Emballage et décors"/>
          <xsd:enumeration value="MS-LUB-AUT-MPC Marché Gd Public"/>
          <xsd:enumeration value="MS-LUB-AUT-MPC Marchés Pro"/>
          <xsd:enumeration value="MS-LUB-AUT-MPC Mkg pdt/client"/>
          <xsd:enumeration value="MS-LUB-AUT-MPC On lin Mkg service"/>
          <xsd:enumeration value="MS-LUB-AUT-MPC PURE"/>
          <xsd:enumeration value="MS-LUB-AUT-PGC Gd Compte"/>
          <xsd:enumeration value="MS-LUB-AUT-PGC Partenariat Gd Compte"/>
          <xsd:enumeration value="MS-LUB-AUT-PGC Service Client"/>
          <xsd:enumeration value="MS-LUB-AUT-QUA"/>
          <xsd:enumeration value="MS-LUB-CN-LUB"/>
          <xsd:enumeration value="MS-LUB-FR-LUBF"/>
          <xsd:enumeration value="MS-LUB-GC-LUB"/>
          <xsd:enumeration value="MS-LUB-HDB"/>
          <xsd:enumeration value="MS-LUB-HDB-ERD Equilibre ressources / Débouchés"/>
          <xsd:enumeration value="MS-LUB-HDB-OS Opération &amp; Shipping"/>
          <xsd:enumeration value="MS-LUB-HDB-SA Supply achat"/>
          <xsd:enumeration value="MS-LUB-HSEQDD"/>
          <xsd:enumeration value="MS-LUB-HSEQDD-CCFDS"/>
          <xsd:enumeration value="MS-LUB-HSEQDD-HSE"/>
          <xsd:enumeration value="MS-LUB-HSEQDD-QUA"/>
          <xsd:enumeration value="MS-LUB-HSEQDD-SP"/>
          <xsd:enumeration value="MS-LUB-IND"/>
          <xsd:enumeration value="MS-LUB-IND-GRA"/>
          <xsd:enumeration value="MS-LUB-IND-MEC"/>
          <xsd:enumeration value="MS-LUB-IND-MEC-CM Chef de marché"/>
          <xsd:enumeration value="MS-LUB-IND-MEC-IOEM"/>
          <xsd:enumeration value="MS-LUB-IND-MEC-STA Tech Produits"/>
          <xsd:enumeration value="MS-LUB-IND-MSD Mkg Strat &amp; digital"/>
          <xsd:enumeration value="MS-LUB-IND-MWF"/>
          <xsd:enumeration value="MS-LUB-IND-VFR"/>
          <xsd:enumeration value="MS-LUB-OPE"/>
          <xsd:enumeration value="MS-LUB-OPE-APMO"/>
          <xsd:enumeration value="MS-LUB-OPE-LOG"/>
          <xsd:enumeration value="MS-LUB-OPE-LOG-ERT"/>
          <xsd:enumeration value="MS-LUB-OPE-LOG-ERT-BNL"/>
          <xsd:enumeration value="MS-LUB-OPE-LOG-ERT-EXP"/>
          <xsd:enumeration value="MS-LUB-OPE-LOG-EXP"/>
          <xsd:enumeration value="MS-LUB-OPE-LOG-FR Log France"/>
          <xsd:enumeration value="MS-LUB-OPE-LOG-FR-C Log France Cond"/>
          <xsd:enumeration value="MS-LUB-OPE-LOG-FR-V Log France Vrac"/>
          <xsd:enumeration value="MS-LUB-OPE-LOG-SLSI Supp Log et Syst Info"/>
          <xsd:enumeration value="MS-LUB-OPE-OIL Optimisation Indust et Log"/>
          <xsd:enumeration value="MS-LUB-OPE-OIL-CYP Cycle produit"/>
          <xsd:enumeration value="MS-LUB-OPE-OIL-EIP Expert. Ind et projets"/>
          <xsd:enumeration value="MS-LUB-OPE-OIL-OB Opt. Blending"/>
          <xsd:enumeration value="MS-LUB-OPE-OIL-OL Opt. Log"/>
          <xsd:enumeration value="MS-LUB-OPE-OIL-PG Pil. Global"/>
          <xsd:enumeration value="MS-LUB-OPE-PIL Pilotage"/>
          <xsd:enumeration value="MS-LUB-OPE-PIL-PAC Plannif Art. cond"/>
          <xsd:enumeration value="MS-LUB-OPE-PIL-PPI Pil. Production et indus"/>
          <xsd:enumeration value="MS-LUB-OPE-PIL-PVA Prév. Vie article"/>
          <xsd:enumeration value="MS-LUB-OPE-PROD Production"/>
          <xsd:enumeration value="MS-LUB-OPE-PROD-BEV Beverwijk"/>
          <xsd:enumeration value="MS-LUB-OPE-PROD-IMP Imperator"/>
          <xsd:enumeration value="MS-LUB-OPE-PROD-MWO Osnabrück"/>
          <xsd:enumeration value="MS-LUB-OPE-PROD-NORM Normanplast"/>
          <xsd:enumeration value="MS-LUB-OPE-PROD-P&amp;S Pétrole et Synthése"/>
          <xsd:enumeration value="MS-LUB-OPE-PROD-SC Schoten"/>
          <xsd:enumeration value="MS-LUB-OPE-USM Rouen"/>
          <xsd:enumeration value="MS-LUB-RECH-LUB"/>
          <xsd:enumeration value="MS-LUB-SG"/>
          <xsd:enumeration value="MS-LUB-SG-AMP Achat Mat 1er"/>
          <xsd:enumeration value="MS-LUB-SG-BCG Budget Ctrl de gestion"/>
          <xsd:enumeration value="MS-LUB-SG-CI"/>
          <xsd:enumeration value="MS-LUB-SG-CM Credit Management"/>
          <xsd:enumeration value="MS-LUB-SG-FCA Formation compétence Administration"/>
          <xsd:enumeration value="MS-LUB-SG-SI"/>
          <xsd:enumeration value="MS-LUB-SG-TSMS"/>
          <xsd:enumeration value="MS-LUB-SMD-Coord. Lub"/>
          <xsd:enumeration value="MS-LUB-SPE-LUB"/>
          <xsd:enumeration value="MS-LUB-SSM"/>
          <xsd:enumeration value="MS-LUB-SSM Market &amp; Performance"/>
          <xsd:enumeration value="MS-LUB-SSM Price &amp; revenue"/>
          <xsd:enumeration value="MS-LUB-SSM Roots"/>
          <xsd:enumeration value="MS-LUB-SSM-INN"/>
          <xsd:enumeration value="MS-LUB-SSM-SHDB Tech HDB"/>
          <xsd:enumeration value="MS-LUB-SSM-SM"/>
          <xsd:enumeration value="MS-LUB-SSM-STR Stratégie"/>
        </xsd:restriction>
      </xsd:simpleType>
    </xsd:element>
    <xsd:element name="TARGET_AUDIENCE__x002f__DESTINATAIRE" ma:index="4" nillable="true" ma:displayName="TARGET_AUDIENCE_/_DESTINATAIRE" ma:internalName="TARGET_AUDIENCE__x002F__DESTINATAIR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S-LUB"/>
                    <xsd:enumeration value="MS-LUB-AME-LUB&amp;SPE"/>
                    <xsd:enumeration value="MS-LUB-AS-LUB"/>
                    <xsd:enumeration value="MS-LUB-AUT"/>
                    <xsd:enumeration value="MS-LUB-AUT-ANAC"/>
                    <xsd:enumeration value="MS-LUB-AUT-COM"/>
                    <xsd:enumeration value="MS-LUB-AUT-DPA"/>
                    <xsd:enumeration value="MS-LUB-AUT-MPC"/>
                    <xsd:enumeration value="MS-LUB-AUT-PGC"/>
                    <xsd:enumeration value="MS-LUB-AUT-QUA"/>
                    <xsd:enumeration value="MS-LUB-CN-LUB"/>
                    <xsd:enumeration value="MS-LUB-FR-LUBF"/>
                    <xsd:enumeration value="MS-LUB-GC-LUB"/>
                    <xsd:enumeration value="MS-LUB-HDB"/>
                    <xsd:enumeration value="MS-LUB-HDB-ERD  Equilibre Ressources / Débouchés"/>
                    <xsd:enumeration value="MS-LUB-HDB-OS  Opération &amp; Shipping"/>
                    <xsd:enumeration value="MS-LUB-HDB-SA  Supply achat"/>
                    <xsd:enumeration value="MS-LUB-HSEQDD"/>
                    <xsd:enumeration value="MS-LUB-HSEQDD-CCFDS"/>
                    <xsd:enumeration value="MS-LUB-HSEQDD-HSE"/>
                    <xsd:enumeration value="MS-LUB-HSEQDD-QUA"/>
                    <xsd:enumeration value="MS-LUB-HSEQDD-SP"/>
                    <xsd:enumeration value="MS-LUB-IND"/>
                    <xsd:enumeration value="MS-LUB-IND-GRA Grease"/>
                    <xsd:enumeration value="MS-LUB-IND-MEC Material Energy &amp; Consumer"/>
                    <xsd:enumeration value="MS-LUB-IND-MSD  Mkg Strat &amp; Digital"/>
                    <xsd:enumeration value="MS-LUB-IND-MWF MetalWorking Fluid"/>
                    <xsd:enumeration value="MS-LUB-IND-VFR Ventes France"/>
                    <xsd:enumeration value="MS-LUB-MAR"/>
                    <xsd:enumeration value="MS-LUB-MAR-ACF  Adm. Client Fournisseur"/>
                    <xsd:enumeration value="MS-LUB-MAR-AME  Amérique"/>
                    <xsd:enumeration value="MS-LUB-MAR-AP  Asie Pacifique"/>
                    <xsd:enumeration value="MS-LUB-MAR-ESMOIA  Eur Sud- mOyen Orient- Afriq-inde"/>
                    <xsd:enumeration value="MS-LUB-MAR-EUR  Europe"/>
                    <xsd:enumeration value="MS-LUB-MAR-LS  Log et sécurité"/>
                    <xsd:enumeration value="MS-LUB-MAR-MKT  Marketing et analyse"/>
                    <xsd:enumeration value="MS-LUB-MAR-TECH"/>
                    <xsd:enumeration value="MS-LUB-OPE"/>
                    <xsd:enumeration value="MS-LUB-OPE-APMO"/>
                    <xsd:enumeration value="MS-LUB-OPE-LOG"/>
                    <xsd:enumeration value="MS-LUB-OPE-OIL"/>
                    <xsd:enumeration value="MS-LUB-OPE-PIL"/>
                    <xsd:enumeration value="MS-LUB-OPE-PROD-BEV  Beverwijk"/>
                    <xsd:enumeration value="MS-LUB-OPE-ERT Ertvelde"/>
                    <xsd:enumeration value="MS-LUB-OPE-PROD-IMP  Imperator"/>
                    <xsd:enumeration value="MS-LUB-OPE-PROD-MWO  Osnabrück"/>
                    <xsd:enumeration value="MS-LUB-OPE-PROD-NORM-OIL  Normanplast"/>
                    <xsd:enumeration value="MS-LUB-OPE-PROD-PES  Pétrole et synth"/>
                    <xsd:enumeration value="MS-LUB-OPE-USM Rouen"/>
                    <xsd:enumeration value="MS-LUB-OPE-PROD-SC Schoten"/>
                    <xsd:enumeration value="MS-LUB-RECH-LUB"/>
                    <xsd:enumeration value="MS-LUB-SG"/>
                    <xsd:enumeration value="MS-LUB-SG-AMP  Achat Mat 1er"/>
                    <xsd:enumeration value="MS-LUB-SG-BCG  Budget Ctrl de gestion"/>
                    <xsd:enumeration value="MS-LUB-SG-CI"/>
                    <xsd:enumeration value="MS-LUB-SG-CM  Credit Management"/>
                    <xsd:enumeration value="MS-LUB-SG-FCA  Formation compétence Administration"/>
                    <xsd:enumeration value="MS-LUB-SG-SI"/>
                    <xsd:enumeration value="MS-LUB-SG-TSMS"/>
                    <xsd:enumeration value="MS-LUB-SMD-Coord. Lub"/>
                    <xsd:enumeration value="MS-LUB-SPE-LUB"/>
                    <xsd:enumeration value="MS-LUB-SSM-  Market &amp; Performance"/>
                    <xsd:enumeration value="MS-LUB-SSM-  roots"/>
                    <xsd:enumeration value="MS-LUB-SSM-  Price &amp; revenue"/>
                    <xsd:enumeration value="MS-LUB-SSM- INN"/>
                    <xsd:enumeration value="MS-LUB-SSM- SHDB  Tech HDB"/>
                    <xsd:enumeration value="MS-LUB-SSM- SM"/>
                    <xsd:enumeration value="MS-LUB-SSM- STR  Stratégie"/>
                    <xsd:enumeration value="AFRICA_AFRICA"/>
                    <xsd:enumeration value="Albania_EUROPE"/>
                    <xsd:enumeration value="Algeria_Africa Northern"/>
                    <xsd:enumeration value="Andorra_EUROPE"/>
                    <xsd:enumeration value="Angola_Africa Middle"/>
                    <xsd:enumeration value="Anguilla_America North &amp; Latin and the Caribbean"/>
                    <xsd:enumeration value="Antigua and Barbuda_America North &amp; Latin and the Caribbean"/>
                    <xsd:enumeration value="Argentina_America Central"/>
                    <xsd:enumeration value="Armenia_ASIA"/>
                    <xsd:enumeration value="Aruba_America North &amp; Latin and the Caribbean"/>
                    <xsd:enumeration value="Asia_Asia"/>
                    <xsd:enumeration value="Australia_OCEANIA"/>
                    <xsd:enumeration value="Austria_EUROPEAN UNION"/>
                    <xsd:enumeration value="Azerbaijan_ASIA"/>
                    <xsd:enumeration value="Bahamas_America North &amp; Latin and the Caribbean"/>
                    <xsd:enumeration value="Bahrain_MIDDLE EAST"/>
                    <xsd:enumeration value="Bangladesh_ASIA"/>
                    <xsd:enumeration value="Barbados_America North &amp; Latin and the Caribbean"/>
                    <xsd:enumeration value="Belarus_EUROPE"/>
                    <xsd:enumeration value="Belgium_EUROPEAN UNION"/>
                    <xsd:enumeration value="Belize_America Central"/>
                    <xsd:enumeration value="Benin_Africa Western"/>
                    <xsd:enumeration value="Bermuda_America Central"/>
                    <xsd:enumeration value="Bhutan_ASIA"/>
                    <xsd:enumeration value="Bolivia_America Central"/>
                    <xsd:enumeration value="Bonaire, Saint Eustatius and Saba_America North &amp; Latin and the Caribbean"/>
                    <xsd:enumeration value="Bosnia_EUROPE"/>
                    <xsd:enumeration value="Botswana_Africa Southern"/>
                    <xsd:enumeration value="Brazil_America Central"/>
                    <xsd:enumeration value="British Virgin Islands_America North &amp; Latin and the Caribbean"/>
                    <xsd:enumeration value="Brunei Darussalam_ASIA"/>
                    <xsd:enumeration value="Bulgaria_EUROPEAN UNION"/>
                    <xsd:enumeration value="Burkina Faso_Africa Western"/>
                    <xsd:enumeration value="Burundi_Africa Eastern"/>
                    <xsd:enumeration value="Cambodia_ASIA"/>
                    <xsd:enumeration value="Cameroon_Africa Middle"/>
                    <xsd:enumeration value="Canada_America Central"/>
                    <xsd:enumeration value="Cape Verde_Africa Western"/>
                    <xsd:enumeration value="Cayman Islands_America North &amp; Latin and the Caribbean"/>
                    <xsd:enumeration value="Central African Republic_Africa Middle"/>
                    <xsd:enumeration value="Central America_America Central"/>
                    <xsd:enumeration value="Central America_America Central"/>
                    <xsd:enumeration value="Chad_Africa Middle"/>
                    <xsd:enumeration value="Chile_America Central"/>
                    <xsd:enumeration value="China_ASIA"/>
                    <xsd:enumeration value="Colombia_America Central"/>
                    <xsd:enumeration value="Comoros_Africa Eastern"/>
                    <xsd:enumeration value="Congo (Brazzaville)_Africa Middle"/>
                    <xsd:enumeration value="Congo, Democratic Republic of the_Africa Middle"/>
                    <xsd:enumeration value="Costa Rica_America Central"/>
                    <xsd:enumeration value="Cote d'Ivoire (Ivory Coast)_Africa Western"/>
                    <xsd:enumeration value="Croatia_EUROPE"/>
                    <xsd:enumeration value="Cuba_America North &amp; Latin and the Caribbean"/>
                    <xsd:enumeration value="Curaçao_America North &amp; Latin and the Caribbean"/>
                    <xsd:enumeration value="Cyprus_EUROPEAN UNION"/>
                    <xsd:enumeration value="Czech Republic_EUROPEAN UNION"/>
                    <xsd:enumeration value="Denmark_EUROPEAN UNION"/>
                    <xsd:enumeration value="Djibouti_Africa Eastern"/>
                    <xsd:enumeration value="Dominica_America North &amp; Latin and the Caribbean"/>
                    <xsd:enumeration value="Dominican Republic_America North &amp; Latin and the Caribbean"/>
                    <xsd:enumeration value="Eastern Europe_Eastern Europe"/>
                    <xsd:enumeration value="Ecuador_America Central"/>
                    <xsd:enumeration value="Egypt_Africa Northern"/>
                    <xsd:enumeration value="El Salvador_America Central"/>
                    <xsd:enumeration value="Equatorial Guinea_Africa Middle"/>
                    <xsd:enumeration value="Eritrea_Africa Eastern"/>
                    <xsd:enumeration value="Estonia_EUROPEAN UNION"/>
                    <xsd:enumeration value="Eswatini (ex-Swaziland)_Africa Southern"/>
                    <xsd:enumeration value="Ethiopia_Africa Eastern"/>
                    <xsd:enumeration value="European Union_EUROPE"/>
                    <xsd:enumeration value="European Union_European Union"/>
                    <xsd:enumeration value="Falkland Islands (Malvinas)_America Central"/>
                    <xsd:enumeration value="Faroe Islands_EUROPE"/>
                    <xsd:enumeration value="Fiji_OCEANIA"/>
                    <xsd:enumeration value="Finland_EUROPEAN UNION"/>
                    <xsd:enumeration value="France_EUROPEAN UNION"/>
                    <xsd:enumeration value="French Guiana_America Central"/>
                    <xsd:enumeration value="French Polynesia_OCEANIA"/>
                    <xsd:enumeration value="Gabon_Africa Middle"/>
                    <xsd:enumeration value="Gambia_Africa Western"/>
                    <xsd:enumeration value="Georgia_ASIA"/>
                    <xsd:enumeration value="Germany_EUROPEAN UNION"/>
                    <xsd:enumeration value="Ghana_Africa Western"/>
                    <xsd:enumeration value="Gibraltar_EUROPE"/>
                    <xsd:enumeration value="Greece_EUROPEAN UNION"/>
                    <xsd:enumeration value="Greenland_America Central"/>
                    <xsd:enumeration value="Grenada_America North &amp; Latin and the Caribbean"/>
                    <xsd:enumeration value="Guadeloupe_America North &amp; Latin and the Caribbean"/>
                    <xsd:enumeration value="Guam_OCEANIA"/>
                    <xsd:enumeration value="Guatemala_America Central"/>
                    <xsd:enumeration value="Guerney and Alderney_EUROPE"/>
                    <xsd:enumeration value="Guinea_Africa Western"/>
                    <xsd:enumeration value="Guinea-Bissau_Africa Western"/>
                    <xsd:enumeration value="Guyana_America Central"/>
                    <xsd:enumeration value="Haiti_America North &amp; Latin and the Caribbean"/>
                    <xsd:enumeration value="Honduras_America Central"/>
                    <xsd:enumeration value="Hong Kong_ASIA"/>
                    <xsd:enumeration value="Hungary_EUROPEAN UNION"/>
                    <xsd:enumeration value="Iceland_EUROPE"/>
                    <xsd:enumeration value="India_ASIA"/>
                    <xsd:enumeration value="Indonesia_ASIA"/>
                    <xsd:enumeration value="Iran_MIDDLE EAST"/>
                    <xsd:enumeration value="Iraq_MIDDLE EAST"/>
                    <xsd:enumeration value="Ireland_EUROPEAN UNION"/>
                    <xsd:enumeration value="Israel_MIDDLE EAST"/>
                    <xsd:enumeration value="Italy_EUROPEAN UNION"/>
                    <xsd:enumeration value="Jamaica_America North &amp; Latin and the Caribbean"/>
                    <xsd:enumeration value="Japan_ASIA"/>
                    <xsd:enumeration value="Jersey_EUROPE"/>
                    <xsd:enumeration value="Jordan_MIDDLE EAST"/>
                    <xsd:enumeration value="Kazakhstan_ASIA"/>
                    <xsd:enumeration value="Kenya_Africa Eastern"/>
                    <xsd:enumeration value="Kiribati_OCEANIA"/>
                    <xsd:enumeration value="Korea, North_ASIA"/>
                    <xsd:enumeration value="Korea, South_ASIA"/>
                    <xsd:enumeration value="Kosovo_EUROPE"/>
                    <xsd:enumeration value="Kuwait_MIDDLE EAST"/>
                    <xsd:enumeration value="Kyrgyzstan_ASIA"/>
                    <xsd:enumeration value="Laos_ASIA"/>
                    <xsd:enumeration value="Latvia_EUROPEAN UNION"/>
                    <xsd:enumeration value="Lebanon_MIDDLE EAST"/>
                    <xsd:enumeration value="Lesotho_Africa Southern"/>
                    <xsd:enumeration value="Liberia_Africa Western"/>
                    <xsd:enumeration value="Libyan Arab Jamahiriya_Africa Northern"/>
                    <xsd:enumeration value="Liechtenstein_EUROPE"/>
                    <xsd:enumeration value="Lithuania_EUROPEAN UNION"/>
                    <xsd:enumeration value="Luxembourg_EUROPEAN UNION"/>
                    <xsd:enumeration value="Macao_ASIA"/>
                    <xsd:enumeration value="Macedonia_EUROPE"/>
                    <xsd:enumeration value="Madagascar_Africa Eastern"/>
                    <xsd:enumeration value="Malawi_Africa Eastern"/>
                    <xsd:enumeration value="Malaysia_ASIA"/>
                    <xsd:enumeration value="Maldives_ASIA"/>
                    <xsd:enumeration value="Mali_Africa Western"/>
                    <xsd:enumeration value="Malta_EUROPEAN UNION"/>
                    <xsd:enumeration value="Man, Island of_EUROPE"/>
                    <xsd:enumeration value="Marshall Islands_OCEANIA"/>
                    <xsd:enumeration value="Martinique_America North &amp; Latin and the Caribbean"/>
                    <xsd:enumeration value="Mauritania_Africa Western"/>
                    <xsd:enumeration value="Mauritius_Africa Eastern"/>
                    <xsd:enumeration value="Mayotte_Africa Eastern"/>
                    <xsd:enumeration value="Mexico_America Central"/>
                    <xsd:enumeration value="Micronesia_OCEANIA"/>
                    <xsd:enumeration value="Middle East_Middle East"/>
                    <xsd:enumeration value="Moldova_EUROPE"/>
                    <xsd:enumeration value="Monaco_EUROPE"/>
                    <xsd:enumeration value="Mongolia_ASIA"/>
                    <xsd:enumeration value="Monserrat_America North &amp; Latin and the Caribbean"/>
                    <xsd:enumeration value="Montenegro_EUROPE"/>
                    <xsd:enumeration value="Morroco_Africa Northern"/>
                    <xsd:enumeration value="Mozambique_Africa Eastern"/>
                    <xsd:enumeration value="Myanmar (ex-Burma)_ASIA"/>
                    <xsd:enumeration value="Namibia_Africa Southern"/>
                    <xsd:enumeration value="Nepal_ASIA"/>
                    <xsd:enumeration value="Netherlands_EUROPEAN UNION"/>
                    <xsd:enumeration value="New Caledonia_OCEANIA"/>
                    <xsd:enumeration value="New Zealand_OCEANIA"/>
                    <xsd:enumeration value="Nicaragua_America Central"/>
                    <xsd:enumeration value="Niger_Africa Western"/>
                    <xsd:enumeration value="Nigeria_Africa Western"/>
                    <xsd:enumeration value="North America_America North"/>
                    <xsd:enumeration value="Northern America_America Central"/>
                    <xsd:enumeration value="Norway_EUROPE"/>
                    <xsd:enumeration value="Oceania_Oceania"/>
                    <xsd:enumeration value="Oman_MIDDLE EAST"/>
                    <xsd:enumeration value="Pakistan_ASIA"/>
                    <xsd:enumeration value="Palestine_MIDDLE EAST"/>
                    <xsd:enumeration value="Panama_America Central"/>
                    <xsd:enumeration value="Papua New Guinea_OCEANIA"/>
                    <xsd:enumeration value="Paraguay_America Central"/>
                    <xsd:enumeration value="Peru_America Central"/>
                    <xsd:enumeration value="Phillipines_ASIA"/>
                    <xsd:enumeration value="Poland_EUROPEAN UNION"/>
                    <xsd:enumeration value="Portugal_EUROPEAN UNION"/>
                    <xsd:enumeration value="Puerto Rico_America North &amp; Latin and the Caribbean"/>
                    <xsd:enumeration value="Qatar_MIDDLE EAST"/>
                    <xsd:enumeration value="Reunion_Africa Eastern"/>
                    <xsd:enumeration value="Romania_EUROPEAN UNION"/>
                    <xsd:enumeration value="Russia_EUROPE"/>
                    <xsd:enumeration value="Rwanda_Africa Eastern"/>
                    <xsd:enumeration value="Saint Helena_Africa Western"/>
                    <xsd:enumeration value="Saint Lucia_America North &amp; Latin and the Caribbean"/>
                    <xsd:enumeration value="Saint Martin_America North &amp; Latin and the Caribbean"/>
                    <xsd:enumeration value="Saint Pierre and Miquelon_America Central"/>
                    <xsd:enumeration value="Saint Vincent and the Grenadines_America North &amp; Latin and the Caribbean"/>
                    <xsd:enumeration value="Saint-Barthélemy_America North &amp; Latin and the Caribbean"/>
                    <xsd:enumeration value="Samoa, American_OCEANIA"/>
                    <xsd:enumeration value="Samoa_OCEANIA"/>
                    <xsd:enumeration value="San Marino_EUROPE"/>
                    <xsd:enumeration value="Sao Tome and Principe_Africa Middle"/>
                    <xsd:enumeration value="Saudi Arabia_MIDDLE EAST"/>
                    <xsd:enumeration value="Senegal_Africa Western"/>
                    <xsd:enumeration value="Serbia_EUROPE"/>
                    <xsd:enumeration value="Seychelles_Africa Eastern"/>
                    <xsd:enumeration value="Sierra Leone_Africa Western"/>
                    <xsd:enumeration value="Singapore_ASIA"/>
                    <xsd:enumeration value="Sint Maarten_America North &amp; Latin and the Caribbean"/>
                    <xsd:enumeration value="Slovakia_EUROPEAN UNION"/>
                    <xsd:enumeration value="Slovenia_EUROPEAN UNION"/>
                    <xsd:enumeration value="Solomon, Islands_OCEANIA"/>
                    <xsd:enumeration value="Somalia_Africa Eastern"/>
                    <xsd:enumeration value="South Africa_Africa Southern"/>
                    <xsd:enumeration value="South America_America Central"/>
                    <xsd:enumeration value="South America_America South"/>
                    <xsd:enumeration value="South Sudan_Africa Northern"/>
                    <xsd:enumeration value="Spain_EUROPEAN UNION"/>
                    <xsd:enumeration value="Sri Lanka (ex-Ceilan)_ASIA"/>
                    <xsd:enumeration value="St. Kitts and Nevis_America North &amp; Latin and the Caribbean"/>
                    <xsd:enumeration value="Sudan_Africa Northern"/>
                    <xsd:enumeration value="Suriname_America Central"/>
                    <xsd:enumeration value="Svalbard and Jan Mayen Islands_EUROPE"/>
                    <xsd:enumeration value="Sweden_EUROPEAN UNION"/>
                    <xsd:enumeration value="Switzerland_EUROPE"/>
                    <xsd:enumeration value="Syria_MIDDLE EAST"/>
                    <xsd:enumeration value="Taiwan_ASIA"/>
                    <xsd:enumeration value="Tajikistan_ASIA"/>
                    <xsd:enumeration value="Tanzania, United Republic of_Africa Eastern"/>
                    <xsd:enumeration value="Thailand_ASIA"/>
                    <xsd:enumeration value="The Caribbean_America North &amp; Latin and the Caribbean"/>
                    <xsd:enumeration value="The Caribbean_America North &amp; Latin and the Caribbean"/>
                    <xsd:enumeration value="Timor Leste (West)_ASIA"/>
                    <xsd:enumeration value="Togo_Africa Western"/>
                    <xsd:enumeration value="Tonga_OCEANIA"/>
                    <xsd:enumeration value="Trinidad and Tobago_America North &amp; Latin and the Caribbean"/>
                    <xsd:enumeration value="Tunisia_Africa Northern"/>
                    <xsd:enumeration value="Turkey_EUROPE"/>
                    <xsd:enumeration value="Turkmenistan_ASIA"/>
                    <xsd:enumeration value="Turks and Caicos Islands_America North &amp; Latin and the Caribbean"/>
                    <xsd:enumeration value="Uganda_Africa Eastern"/>
                    <xsd:enumeration value="Ukraine_EUROPE"/>
                    <xsd:enumeration value="United Arab Emirates_MIDDLE EAST"/>
                    <xsd:enumeration value="United Kingdom_EUROPEAN UNION"/>
                    <xsd:enumeration value="United States_America Central"/>
                    <xsd:enumeration value="Uruguay_America Central"/>
                    <xsd:enumeration value="Uzbekistan_ASIA"/>
                    <xsd:enumeration value="Vanuatu_OCEANIA"/>
                    <xsd:enumeration value="Vatican City State (Holy See)_EUROPE"/>
                    <xsd:enumeration value="Venezuela_America Central"/>
                    <xsd:enumeration value="Vietnam_ASIA"/>
                    <xsd:enumeration value="Virgin Islands (US)_America North &amp; Latin and the Caribbean"/>
                    <xsd:enumeration value="Western Sahara_Africa Northern"/>
                    <xsd:enumeration value="Yemen_MIDDLE EAST"/>
                    <xsd:enumeration value="Zambia_Africa Eastern"/>
                    <xsd:enumeration value="Zimbabwe_Africa Eastern"/>
                  </xsd:restriction>
                </xsd:simpleType>
              </xsd:element>
            </xsd:sequence>
          </xsd:extension>
        </xsd:complexContent>
      </xsd:complexType>
    </xsd:element>
    <xsd:element name="DOMAIN" ma:index="5" nillable="true" ma:displayName="DOMAIN" ma:description="Sélectionner les domaines concernant votre document" ma:internalName="DOMAI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petitors/Concurrents"/>
                    <xsd:enumeration value="Components (Raw Mat,SpareParts, ..)/Composants (Mat 1ère, Pièces détachées, …)"/>
                    <xsd:enumeration value="Communication, Events &amp; Meeting, …"/>
                    <xsd:enumeration value="Digital Information Technonology  / Syst. d'Information"/>
                    <xsd:enumeration value="Environnement, BIO and Sustainable Dev / Développement durable"/>
                    <xsd:enumeration value="Finances (Results,Price,Budget,Credit,...)"/>
                    <xsd:enumeration value="Human Ressources (Management, Health / Santé, …)"/>
                    <xsd:enumeration value="Innovation and Process improvement"/>
                    <xsd:enumeration value="Legal Area, Regulation and contracts/Légal, Juridique, Réglements et contrats"/>
                    <xsd:enumeration value="Logistic/Logistique (Stock &amp; transport)"/>
                    <xsd:enumeration value="Marketing (watch, study, …)"/>
                    <xsd:enumeration value="Norms and Procedures"/>
                    <xsd:enumeration value="Production (Plant, Maintenance, Laboratory, …)"/>
                    <xsd:enumeration value="Products &amp; Services (R&amp;D,Evolution,Compositions,  specification and Technic)"/>
                    <xsd:enumeration value="Purchase Suppliers-providers/ Achats Fournisseurs-prestataires"/>
                    <xsd:enumeration value="Quality (Audit, Claim, action Plan, …)"/>
                    <xsd:enumeration value="Sales-Customers / Ventes-Client"/>
                    <xsd:enumeration value="Security &amp; Safety"/>
                    <xsd:enumeration value="Strategy, Pilotage, gouvernance"/>
                    <xsd:enumeration value="Training, guidelines, Templates/Formations, Manuels, Templates"/>
                  </xsd:restriction>
                </xsd:simpleType>
              </xsd:element>
            </xsd:sequence>
          </xsd:extension>
        </xsd:complexContent>
      </xsd:complexType>
    </xsd:element>
    <xsd:element name="TAG_1" ma:index="6" nillable="true" ma:displayName="TAG_1" ma:description="Permet de créer un classement type dossier" ma:internalName="TAG_1">
      <xsd:simpleType>
        <xsd:restriction base="dms:Text">
          <xsd:maxLength value="70"/>
        </xsd:restriction>
      </xsd:simpleType>
    </xsd:element>
    <xsd:element name="TAG_2" ma:index="7" nillable="true" ma:displayName="TAG_2" ma:description="Permet de créer un second classement type dossier" ma:internalName="TAG_2">
      <xsd:simpleType>
        <xsd:restriction base="dms:Text">
          <xsd:maxLength value="70"/>
        </xsd:restriction>
      </xsd:simpleType>
    </xsd:element>
    <xsd:element name="DOC_TYPE" ma:index="8" nillable="true" ma:displayName="DOC_TYPE" ma:description="Catégorise le type de document" ma:format="Dropdown" ma:internalName="DOC_TYPE">
      <xsd:simpleType>
        <xsd:union memberTypes="dms:Text">
          <xsd:simpleType>
            <xsd:restriction base="dms:Choice">
              <xsd:enumeration value="-"/>
            </xsd:restriction>
          </xsd:simpleType>
        </xsd:union>
      </xsd:simpleType>
    </xsd:element>
    <xsd:element name="PRODUCT__x002f__RANGE" ma:index="10" nillable="true" ma:displayName="PRODUCT_/_RANGE" ma:default="-" ma:description="Permet de choisir la famille de produit(Hiérarchie), et/ou le produit" ma:internalName="PRODUCT__x002F__RAN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  <xsd:enumeration value="AIRCRAFT ENGINES - PISTON ENGINES"/>
                    <xsd:enumeration value="AIRCRAFT ENGINES - TURBINE ENGINES"/>
                    <xsd:enumeration value="ANTIGEL &amp; LIQUIDE DE REFROIDISSEMENT"/>
                    <xsd:enumeration value="ANTIGEL &amp; LIQUIDE DE REFROIDISSEMENT - CONCENTRATED - MINERAL TECHNOLOGY"/>
                    <xsd:enumeration value="ANTIGEL &amp; LIQUIDE DE REFROIDISSEMENT - CONCENTRATED - MINERAL TECHNOLOGY - FOOD-GRADE"/>
                    <xsd:enumeration value="ANTIGEL &amp; LIQUIDE DE REFROIDISSEMENT - CONCENTRATED - ORGANIC TECHNOLOGY"/>
                    <xsd:enumeration value="ANTIGEL &amp; LIQUIDE DE REFROIDISSEMENT - CONCENTRATED - ORGANIC TECHNOLOGY - FOOD-GRADE"/>
                    <xsd:enumeration value="ANTIGEL &amp; LIQUIDE DE REFROIDISSEMENT - CONCENTRATED - SEMI ORGANIC TECHNOLOGY"/>
                    <xsd:enumeration value="ANTIGEL &amp; LIQUIDE DE REFROIDISSEMENT - READY MIX - MINERAL TECHNOLOGY"/>
                    <xsd:enumeration value="ANTIGEL &amp; LIQUIDE DE REFROIDISSEMENT - READY MIX - ORGANIC TECHNOLOGY"/>
                    <xsd:enumeration value="ANTIGEL &amp; LIQUIDE DE REFROIDISSEMENT - READY MIX - ORGANIC TECHNOLOGY - FOOD-GRADE"/>
                    <xsd:enumeration value="ANTIGEL &amp; LIQUIDE DE REFROIDISSEMENT - READY MIX - SEMI ORGANIC TECHNOLOGY"/>
                    <xsd:enumeration value="ANTIGEL &amp; LIQUIDE DE REFROIDISSEMENT - SUPER CONCENTRATED - ORGANIC TECHNOLOGY"/>
                    <xsd:enumeration value="AUTOMATIC TRANSMISSION (ATF) FLUID"/>
                    <xsd:enumeration value="AUTOMATIC TRANSMISSION (ATF) FLUID - DEXRON II"/>
                    <xsd:enumeration value="AUTOMATIC TRANSMISSION (ATF) FLUID - DEXRON III"/>
                    <xsd:enumeration value="AUTOMATIC TRANSMISSION (ATF) FLUID - DEXRON VI"/>
                    <xsd:enumeration value="AUTOMATIC TRANSMISSION (ATF) FLUID - OFF-ROAD"/>
                    <xsd:enumeration value="AUTOMATIC TRANSMISSION (ATF) FLUID - SPECIALITIES"/>
                    <xsd:enumeration value="BRAKE FLUID"/>
                    <xsd:enumeration value="COMPRESSORS"/>
                    <xsd:enumeration value="COMPRESSORS - REFRIGERATING OIL"/>
                    <xsd:enumeration value="COMPRESSORS - REFRIGERATING OIL - FOOD-GRADE"/>
                    <xsd:enumeration value="COMPRESSORS - VACUUM PUMP"/>
                    <xsd:enumeration value="DEMOULDING"/>
                    <xsd:enumeration value="DEMOULDING - DEMOULDING - FOOD-GRADE"/>
                    <xsd:enumeration value="GAS ENGINES - MINERAL"/>
                    <xsd:enumeration value="GAS ENGINES - MOTO - COMPRESSORS"/>
                    <xsd:enumeration value="GAS ENGINES - SYNTHETIC"/>
                    <xsd:enumeration value="GEARS - MINERAL"/>
                    <xsd:enumeration value="GEARS - MINERAL - FOOD-GRADE"/>
                    <xsd:enumeration value="GEARS - SYNTHETIC"/>
                    <xsd:enumeration value="GEARS - SYNTHETIC - BIODEGRADABLE"/>
                    <xsd:enumeration value="GEARS - SYNTHETIC - FOOD-GRADE"/>
                    <xsd:enumeration value="GREASE"/>
                    <xsd:enumeration value="GREASE - ALUMINIUM"/>
                    <xsd:enumeration value="GREASE - ALUMINIUM - FOOD-GRADE"/>
                    <xsd:enumeration value="GREASE - BENTONE"/>
                    <xsd:enumeration value="GREASE - CALCIUM"/>
                    <xsd:enumeration value="GREASE - CALCIUM - BIODEGRADABLE"/>
                    <xsd:enumeration value="GREASE - CALCIUM COMPLEX"/>
                    <xsd:enumeration value="GREASE - CALCIUM COMPLEX - FOOD-GRADE"/>
                    <xsd:enumeration value="GREASE - CALCIUM COMPLEX SULFONATE"/>
                    <xsd:enumeration value="GREASE - CALCIUM COMPLEX SULFONATE - FOOD-GRADE"/>
                    <xsd:enumeration value="GREASE - LITHIUM"/>
                    <xsd:enumeration value="GREASE - LITHIUM CALCIUM"/>
                    <xsd:enumeration value="GREASE - LITHIUM CALCIUM - BIODEGRADABLE"/>
                    <xsd:enumeration value="GREASE - LITHIUM COMPLEX"/>
                    <xsd:enumeration value="GREASE - OTHERS"/>
                    <xsd:enumeration value="GREASE - POLYUREA"/>
                    <xsd:enumeration value="GREASE - PTFE"/>
                    <xsd:enumeration value="HEAT TRANSFER - MINERAL"/>
                    <xsd:enumeration value="HEAT TRANSFER - MINERAL - FOOD-GRADE"/>
                    <xsd:enumeration value="HEAT TRANSFER - SYNTHETIC"/>
                    <xsd:enumeration value="HEAVY DUTY APPLICATION OIL - AGRICULTURAL 2 STROKE ENGINE OIL"/>
                    <xsd:enumeration value="HEAVY DUTY APPLICATION OIL - AGRICULTURAL 4 STROKE ENGINE OIL"/>
                    <xsd:enumeration value="HEAVY DUTY APPLICATION OIL - AGRICULTURAL 4 STROKE ENGINE OIL - FUEL ECONOMY &amp; LOW SAPS TECHNOLOGIES"/>
                    <xsd:enumeration value="HEAVY DUTY APPLICATION OIL - AGRICULTURAL 4 STROKE ENGINE OIL - FUEL ECONOMY TECHNOLOGY"/>
                    <xsd:enumeration value="HEAVY DUTY APPLICATION OIL - AGRICULTURAL 4 STROKE ENGINE OIL - LOW SAPS TECHNOLOGY"/>
                    <xsd:enumeration value="HEAVY DUTY APPLICATION OIL - AGRICULTURAL SUPER TRACTOR OIL UNIVERSAL"/>
                    <xsd:enumeration value="HEAVY DUTY APPLICATION OIL - CHAINESAWS OIL"/>
                    <xsd:enumeration value="HEAVY DUTY APPLICATION OIL - CHAINESAWS OIL - BIODEGRADABLE"/>
                    <xsd:enumeration value="HEAVY DUTY APPLICATION OIL - HDMO GAS APPLICATIONS"/>
                    <xsd:enumeration value="HEAVY DUTY APPLICATION OIL - HDMO HIGH END"/>
                    <xsd:enumeration value="HEAVY DUTY APPLICATION OIL - HDMO HIGH END - FUEL ECONOMY &amp; LOW SAPS TECHNOLOGIES"/>
                    <xsd:enumeration value="HEAVY DUTY APPLICATION OIL - HDMO HIGH END - FUEL ECONOMY TECHNOLOGY"/>
                    <xsd:enumeration value="HEAVY DUTY APPLICATION OIL - HDMO HIGH END - LOW SAPS TECHNOLOGY"/>
                    <xsd:enumeration value="HEAVY DUTY APPLICATION OIL - HDMO LOW END"/>
                    <xsd:enumeration value="HEAVY DUTY APPLICATION OIL - HDMO MID END"/>
                    <xsd:enumeration value="HEAVY DUTY APPLICATION OIL - HDMO MID END - FUEL ECONOMY TECHNOLOGY"/>
                    <xsd:enumeration value="HEAVY DUTY APPLICATION OIL - INLAND &amp; COASTAL SHIPPING ENGINE 2T OIL"/>
                    <xsd:enumeration value="HEAVY DUTY APPLICATION OIL - INLAND &amp; COASTAL SHIPPING ENGINE 2T OIL - BIODEGRADABLE"/>
                    <xsd:enumeration value="HEAVY DUTY APPLICATION OIL - INLAND &amp; COASTAL SHIPPING ENGINE 4T OIL"/>
                    <xsd:enumeration value="HEAVY DUTY APPLICATION OIL - INLAND &amp; COASTAL SHIPPING ENGINE 4T OIL - FUEL ECONOMY &amp; LOW SAPS TECHNOLOGIES"/>
                    <xsd:enumeration value="HEAVY DUTY APPLICATION OIL - INLAND &amp; COASTAL SHIPPING ENGINE 4T OIL - FUEL ECONOMY TECHNOLOGY"/>
                    <xsd:enumeration value="HEAVY DUTY APPLICATION OIL - INLAND &amp; COASTAL SHIPPING ENGINE 4T OIL - LOW SAPS TECHNOLOGY"/>
                    <xsd:enumeration value="HEAVY DUTY APPLICATION OIL - PUBLIC WORKS &amp; EARTH MOVING CONCEPT TP"/>
                    <xsd:enumeration value="HEAVY DUTY APPLICATION OIL - PUBLIC WORKS &amp; EARTH MOVING ENGINE OIL"/>
                    <xsd:enumeration value="HEAVY DUTY APPLICATION OIL - PUBLIC WORKS &amp; EARTH MOVING ENGINE OIL - BIODEGRADABLE"/>
                    <xsd:enumeration value="HEAVY DUTY APPLICATION OIL - PUBLIC WORKS &amp; EARTH MOVING ENGINE OIL - FUEL ECONOMY &amp; LOW SAPS TECHNOLOGIES"/>
                    <xsd:enumeration value="HEAVY DUTY APPLICATION OIL - PUBLIC WORKS &amp; EARTH MOVING ENGINE OIL - LOW SAPS TECHNOLOGY"/>
                    <xsd:enumeration value="HEAVY DUTY APPLICATION OIL - RAIL-ROAD ENGINE OIL"/>
                    <xsd:enumeration value="HUILE PROCEDES - MINERAL PRODUCT"/>
                    <xsd:enumeration value="HUILE PROCEDES - WHITE OIL - MEDICINAL - FOOD-GRADE"/>
                    <xsd:enumeration value="HUILE PROCEDES - WHITE OIL - TECHNICAL"/>
                    <xsd:enumeration value="HYDRAULIC"/>
                    <xsd:enumeration value="HYDRAULIC - FIRE RESISTANT"/>
                    <xsd:enumeration value="HYDRAULIC - FIRE RESISTANT - BIODEGRADABLE"/>
                    <xsd:enumeration value="HYDRAULIC - OFF-ROAD"/>
                    <xsd:enumeration value="HYDRAULIC - WITH HIGH VI"/>
                    <xsd:enumeration value="HYDRAULIC - WITH HIGH VI - BIODEGRADABLE"/>
                    <xsd:enumeration value="HYDRAULIC - WITH HIGH VI - FOOD-GRADE"/>
                    <xsd:enumeration value="HYDRAULIC - WITH STANDARD VI"/>
                    <xsd:enumeration value="HYDRAULIC - WITH STANDARD VI - FOOD-GRADE"/>
                    <xsd:enumeration value="INDUSTRIELS"/>
                    <xsd:enumeration value="INSULATING OIL"/>
                    <xsd:enumeration value="INSULATING OIL - INSULATING OIL - BIODEGRADABLE"/>
                    <xsd:enumeration value="LUB. AUTOMOBILES"/>
                    <xsd:enumeration value="MANUAL TRANSMISSION OIL (MTF)"/>
                    <xsd:enumeration value="MANUAL TRANSMISSION OIL (MTF) - OFF-ROAD"/>
                    <xsd:enumeration value="MANUAL TRANSMISSION OIL (MTF) - OFF-ROAD - FUEL ECONOMY TECHNOLOGY"/>
                    <xsd:enumeration value="MANUAL TRANSMISSION OIL (MTF) - ON-ROAD AXLES"/>
                    <xsd:enumeration value="MANUAL TRANSMISSION OIL (MTF) - ON-ROAD AXLES - FUEL ECONOMY TECHNOLOGY"/>
                    <xsd:enumeration value="MANUAL TRANSMISSION OIL (MTF) - ON-ROAD GEARBOXES"/>
                    <xsd:enumeration value="MANUAL TRANSMISSION OIL (MTF) - ON-ROAD GEARBOXES - FUEL ECONOMY TECHNOLOGY"/>
                    <xsd:enumeration value="MANUAL TRANSMISSION OIL (MTF) - ON-ROAD GEARBOXES &amp; AXLES"/>
                    <xsd:enumeration value="MANUAL TRANSMISSION OIL (MTF) - ON-ROAD GEARBOXES &amp; AXLES - FUEL ECONOMY TECHNOLOGY"/>
                    <xsd:enumeration value="METAL WORKING - ALUMINIUM ROLLLING MAINTENANCE OILS"/>
                    <xsd:enumeration value="METAL WORKING - CONTINUOUS CASTING OIL"/>
                    <xsd:enumeration value="METAL WORKING - MACHINE LUBRICANTS"/>
                    <xsd:enumeration value="METAL WORKING - METAL WORKING"/>
                    <xsd:enumeration value="METAL WORKING - NEAT CUTTING OILS"/>
                    <xsd:enumeration value="METAL WORKING - NEAT FORMING OILS"/>
                    <xsd:enumeration value="METAL WORKING - NEAT PROTECTION OILS"/>
                    <xsd:enumeration value="METAL WORKING - NEAT QUENCHING OILS"/>
                    <xsd:enumeration value="METAL WORKING - NEAT ROLLING FLUIDS"/>
                    <xsd:enumeration value="METAL WORKING - POLYMER QUENCHING FLUIDS"/>
                    <xsd:enumeration value="METAL WORKING - ROLLING ADDITIVES"/>
                    <xsd:enumeration value="METAL WORKING - SOLUBLE CUTTING FLUIDS"/>
                    <xsd:enumeration value="METAL WORKING - SOLUBLE CUTTING POST-TREATMENT ADDITIVES"/>
                    <xsd:enumeration value="METAL WORKING - SOLUBLE FORMING FLUIDS"/>
                    <xsd:enumeration value="METAL WORKING - WATER DEGREASERS/DETERGENTS"/>
                    <xsd:enumeration value="MOTOR CYCLES - 2 T MOTORBIKE MINERAL TECH ENGINE OIL"/>
                    <xsd:enumeration value="MOTOR CYCLES - 2 T MOTORBIKE SYN BASED ENGINE OIL"/>
                    <xsd:enumeration value="MOTOR CYCLES - 2 T MOTORBIKE SYN TECH ENGINE OIL"/>
                    <xsd:enumeration value="MOTOR CYCLES - 2 T SCOOTER MINERAL TECH ENGNE OIL"/>
                    <xsd:enumeration value="MOTOR CYCLES - 2 T SCOOTER SYN BASED ENGNE OIL"/>
                    <xsd:enumeration value="MOTOR CYCLES - 2 T SCOOTER SYN TECH ENGNE OIL"/>
                    <xsd:enumeration value="MOTOR CYCLES - 4 T MOTORBIKE MINERAL TECH ENGINE OIL"/>
                    <xsd:enumeration value="MOTOR CYCLES - 4 T MOTORBIKE SYN BASED ENGINE OIL"/>
                    <xsd:enumeration value="MOTOR CYCLES - 4 T MOTORBIKE SYN TECH ENGINE OIL"/>
                    <xsd:enumeration value="MOTOR CYCLES - 4 T MOTORBIKE SYN TECH ENGINE OIL - FUEL ECONOMY TECHNOLOGY"/>
                    <xsd:enumeration value="MOTOR CYCLES - 4 T SCOOTER MINERAL TECH ENGNE OIL"/>
                    <xsd:enumeration value="MOTOR CYCLES - 4 T SCOOTER SYN BASED ENGNE OIL"/>
                    <xsd:enumeration value="MOTOR CYCLES - 4 T SCOOTER SYN TECH ENGNE OIIL"/>
                    <xsd:enumeration value="MOTOR CYCLES - SPECIALITIES"/>
                    <xsd:enumeration value="MOVEMENTS"/>
                    <xsd:enumeration value="MOVEMENTS - CYLINDERS"/>
                    <xsd:enumeration value="MOVEMENTS - LOST LUBRICATION"/>
                    <xsd:enumeration value="MOVEMENTS - LOST LUBRICATION - FOOD-GRADE"/>
                    <xsd:enumeration value="MOVEMENTS - PNEUMATIC"/>
                    <xsd:enumeration value="MOVEMENTS - WITH ANTI-WEAR PROPERTIES"/>
                    <xsd:enumeration value="MOVEMENTS - WITHOUT ANTI-WEAR PROPERTIES"/>
                    <xsd:enumeration value="OTHER"/>
                    <xsd:enumeration value="OTHER - OTHERS - FOOD-GRADE"/>
                    <xsd:enumeration value="PASSENGER CAR - MINERAL TECHNOLOGY ENGINE OIL"/>
                    <xsd:enumeration value="PASSENGER CAR - MINERAL TECHNOLOGY ENGINE OIL - FUEL ECONOMY TECHNOLOGY"/>
                    <xsd:enumeration value="PASSENGER CAR - SYNTHETIC BASED ENGINE OIL"/>
                    <xsd:enumeration value="PASSENGER CAR - SYNTHETIC BASED ENGINE OIL - FUEL ECONOMY TECHNOLOGY"/>
                    <xsd:enumeration value="PASSENGER CAR - SYNTHETIC TECHNOLOGY ENGINE OIL"/>
                    <xsd:enumeration value="PASSENGER CAR - SYNTHETIC TECHNOLOGY ENGINE OIL - FUEL ECONOMY &amp; LOW SAPS TECHNOLOGIES"/>
                    <xsd:enumeration value="PASSENGER CAR - SYNTHETIC TECHNOLOGY ENGINE OIL - FUEL ECONOMY TECHNOLOGY"/>
                    <xsd:enumeration value="PASSENGER CAR - SYNTHETIC TECHNOLOGY ENGINE OIL - LOW SAPS TECHNOLOGY"/>
                    <xsd:enumeration value="SOLVANT &amp; DETERGENT - DETERGENT"/>
                    <xsd:enumeration value="SOLVANT &amp; DETERGENT - SOLVENT"/>
                    <xsd:enumeration value="SPECIAL FLUID"/>
                    <xsd:enumeration value="TEXTILE"/>
                    <xsd:enumeration value="TEXTILE - CONCENTRATED"/>
                    <xsd:enumeration value="TEXTILE - FULL BATH-DETERGENT"/>
                    <xsd:enumeration value="TEXTILE - NEEDLE OIL"/>
                    <xsd:enumeration value="TEXTILE - NON WOVEN"/>
                    <xsd:enumeration value="TEXTILE - SPIN FINISH"/>
                    <xsd:enumeration value="TEXTILE - SPINNING"/>
                    <xsd:enumeration value="TEXTILE - TEXTURISING"/>
                    <xsd:enumeration value="TEXTILE - WEAVING - WARPING"/>
                    <xsd:enumeration value="TURBINES"/>
                    <xsd:enumeration value="TURBINES - TURBINES - BIODEGRADABLE"/>
                    <xsd:enumeration value="UREE ADBLUE"/>
                    <xsd:enumeration value="VASELINE"/>
                    <xsd:enumeration value="1040G07117 10W40 (TOT)"/>
                    <xsd:enumeration value="10W40 DIESEL (CAR)"/>
                    <xsd:enumeration value="10W40 ESSENCE (CAR)"/>
                    <xsd:enumeration value="10W40 ESSENCE + DIESEL (CAR)"/>
                    <xsd:enumeration value="11 ATF (HON)"/>
                    <xsd:enumeration value="15W40 DIESEL (CAR)"/>
                    <xsd:enumeration value="15W40 ESSENCE (CAR)"/>
                    <xsd:enumeration value="15W40 ESSENCE + DIESEL (CAR)"/>
                    <xsd:enumeration value="2 T SEMI - SINTETICO (CAR)"/>
                    <xsd:enumeration value="2 TEMPS SEMI SYNTHETIQUE (ELA)"/>
                    <xsd:enumeration value="2 TEMPS SYN (RTO)"/>
                    <xsd:enumeration value="2 TEMPS SYNTHETIQUE (ELA)"/>
                    <xsd:enumeration value="2 TEMPS Z SYNT (TOT)"/>
                    <xsd:enumeration value="2 TZ (TOT)"/>
                    <xsd:enumeration value="20W50 ESSENCE (CAR)"/>
                    <xsd:enumeration value="4 TZ (TOT)"/>
                    <xsd:enumeration value="4-Stroke MC OIL SL 10W30 (HON)"/>
                    <xsd:enumeration value="4T TECNOLOGIA SINTESIS (CAR)"/>
                    <xsd:enumeration value="5W30 ESSENCE + DIESEL (CAR)"/>
                    <xsd:enumeration value="5W30 FAP (CAR)"/>
                    <xsd:enumeration value="5W40 ESSENCE + DIESEL (CAR)"/>
                    <xsd:enumeration value="5W50 ESSENCE + DIESEL (CAR)"/>
                    <xsd:enumeration value="6 IN 1 (ELF)"/>
                    <xsd:enumeration value="A.T.F. D-II-D (GUL)"/>
                    <xsd:enumeration value="A.T.F. HIGH TECH (GUL)"/>
                    <xsd:enumeration value="ACTIVA 3000 20W50 (TOT)"/>
                    <xsd:enumeration value="ACTIVA 5000 15W40 (TOT)"/>
                    <xsd:enumeration value="ACTIVA 7000 10W40 (TOT)"/>
                    <xsd:enumeration value="ACTIVA 9000 5W40 (TOT)"/>
                    <xsd:enumeration value="ACTIVA 9000 5W40 E (TOT)"/>
                    <xsd:enumeration value="ACTIVA 9000 5W40 MIXTE (TOT)"/>
                    <xsd:enumeration value="ACTIVA 9000 ENERGY 0W30 (TOT)"/>
                    <xsd:enumeration value="ACTIVA 9000 FUTUR NFC D (TOT)"/>
                    <xsd:enumeration value="ACTIVA 9000 FUTUR NFC E (TOT)"/>
                    <xsd:enumeration value="ACTIVA DIESEL 3000 15W40 (TOT)"/>
                    <xsd:enumeration value="ACTIVA DIESEL 5000 15W40 (TOT)"/>
                    <xsd:enumeration value="ACTIVA DIESEL 7000 10W40 (TOT)"/>
                    <xsd:enumeration value="ACTIVA DIESEL 9000 5W40 (TOT)"/>
                    <xsd:enumeration value="ACTIVA INEO ECS 5W30 (TOT)"/>
                    <xsd:enumeration value="ACTIVA INEO L LIFE 5W30 (TOT)"/>
                    <xsd:enumeration value="ADBLUE (RTO)"/>
                    <xsd:enumeration value="ADBLUE (TOT)"/>
                    <xsd:enumeration value="ADBLUE (VRS) (SCA)"/>
                    <xsd:enumeration value="ADBLUE CDS (TOT)"/>
                    <xsd:enumeration value="AERO 100 (TOT)"/>
                    <xsd:enumeration value="AERO 120 (TOT)"/>
                    <xsd:enumeration value="AERO 80 (TOT)"/>
                    <xsd:enumeration value="AERO D 100 (TOT)"/>
                    <xsd:enumeration value="AERO D 120 (TOT)"/>
                    <xsd:enumeration value="AERO D 80 (TOT)"/>
                    <xsd:enumeration value="AERO DM 15W50 (TOT)"/>
                    <xsd:enumeration value="AERO DM 20W60 (TOT)"/>
                    <xsd:enumeration value="AERO XPD 100 (TOT)"/>
                    <xsd:enumeration value="AERO XPD 120 (TOT)"/>
                    <xsd:enumeration value="AERO XPD 80 (TOT)"/>
                    <xsd:enumeration value="AEROGEAR 1032 (TOT)"/>
                    <xsd:enumeration value="AEROGEAR 823 (TOT)"/>
                    <xsd:enumeration value="AEROGEL (TOT)"/>
                    <xsd:enumeration value="AEROGREASE 05 (TOT)"/>
                    <xsd:enumeration value="AEROGREASE 15 (TOT)"/>
                    <xsd:enumeration value="AEROGREASE N 31089 (TOT)"/>
                    <xsd:enumeration value="AEROHYDRAULIC 520 (TOT)"/>
                    <xsd:enumeration value="AEROPROTECTIVE 219 (TOT)"/>
                    <xsd:enumeration value="AEROTURBINE 331 (TOT)"/>
                    <xsd:enumeration value="AEROTURBINE 921 (TOT)"/>
                    <xsd:enumeration value="AGRI UNIVERSAL 300 15W40 (CLA)"/>
                    <xsd:enumeration value="AGRI UNIVERSAL 400 10W40 (CLA)"/>
                    <xsd:enumeration value="AGRI-COOL -37°C (CLA)"/>
                    <xsd:enumeration value="AGRICOOL OAT 0 (CLA)"/>
                    <xsd:enumeration value="AGRIGREASE EP2 (CLA)"/>
                    <xsd:enumeration value="AGRIGREASE EP3 (CLA)"/>
                    <xsd:enumeration value="AGRIGREASE LC 00/000 (CLA)"/>
                    <xsd:enumeration value="AGRIHYD HV 46 (CLA)"/>
                    <xsd:enumeration value="AGRIHYD HVLP-D 46 (CLA)"/>
                    <xsd:enumeration value="AGRIMAT (RTO)"/>
                    <xsd:enumeration value="AGRIMATIC HP (TOT)"/>
                    <xsd:enumeration value="AGRIMOT PROTEC 10W40 (CLA)"/>
                    <xsd:enumeration value="AGRIMOT PROTEC FE 10W30 (CLA)"/>
                    <xsd:enumeration value="AGRIMOT SDM 15W40 (CLA)"/>
                    <xsd:enumeration value="AGRIMOT SDX 15W40 (CLA)"/>
                    <xsd:enumeration value="AGRIMOT SDX FE 15W30 (CLA)"/>
                    <xsd:enumeration value="AGRIMOT ULTRATEC 10W40 (CLA)"/>
                    <xsd:enumeration value="AGRIMOT ULTRATEC FE 5W30 (CLA)"/>
                    <xsd:enumeration value="AGRIPRO HF 6 (YAC)"/>
                    <xsd:enumeration value="AGRIPRO HJD (YAC)"/>
                    <xsd:enumeration value="AGRISHIFT 4 SC (CLA)"/>
                    <xsd:enumeration value="AGRISHIFT BIO 45 (CLA)"/>
                    <xsd:enumeration value="AGRISHIFT BLS 80W90 (CLA)"/>
                    <xsd:enumeration value="AGRISHIFT GA 12 (CLA)"/>
                    <xsd:enumeration value="AGRISHIFT MT 80W90 (CLA)"/>
                    <xsd:enumeration value="AGRISHIFT SYN FE 75W140 (CLA)"/>
                    <xsd:enumeration value="AGRISHIFT SYN FE 75W90 (CLA)"/>
                    <xsd:enumeration value="AGRISHIFT THFI (CLA)"/>
                    <xsd:enumeration value="AGRISHIFT XE (CLA)"/>
                    <xsd:enumeration value="AGRITEC 15W40 (ELF)"/>
                    <xsd:enumeration value="AGRITEC FE 15W30 (ELF)"/>
                    <xsd:enumeration value="AGRITEC MO 15W40 (ELF)"/>
                    <xsd:enumeration value="AGRITEC NG 10W40 (ELF)"/>
                    <xsd:enumeration value="AGRITEC NG FE 5W30 (ELF)"/>
                    <xsd:enumeration value="AGRITEC SYN 10W40 (ELF)"/>
                    <xsd:enumeration value="AGRITEC SYN FE 10W30 (ELF)"/>
                    <xsd:enumeration value="AGRITEC ZS FE 10W30 (ELF)"/>
                    <xsd:enumeration value="AGRITRAITE 68 (TOT)"/>
                    <xsd:enumeration value="ALTEX 165 Z (TXL)"/>
                    <xsd:enumeration value="ALTEX FC 2 (TXL)"/>
                    <xsd:enumeration value="ALTEX GS 140 (TXL)"/>
                    <xsd:enumeration value="ALTIS EM 2 (TOT)"/>
                    <xsd:enumeration value="ALTIS HV 1 (TOT)"/>
                    <xsd:enumeration value="ALTIS MV 2 (TOT)"/>
                    <xsd:enumeration value="ALTIS SH 2 (TOT)"/>
                    <xsd:enumeration value="ANTI SCUFF PASTE G (HER)"/>
                    <xsd:enumeration value="ANTIFREEZE &amp; S.C. (GUL)"/>
                    <xsd:enumeration value="ANTIGRIPPANT (YAC)"/>
                    <xsd:enumeration value="AP. WIDE GEAR LW 80W90 (NEU)"/>
                    <xsd:enumeration value="APM 4030 (ELF)"/>
                    <xsd:enumeration value="ARIAN 22 (TOT)"/>
                    <xsd:enumeration value="ATF 33 (TOT)"/>
                    <xsd:enumeration value="ATF D-3 (YUN)"/>
                    <xsd:enumeration value="ATF DIII-G (VOL)"/>
                    <xsd:enumeration value="ATF III (YAC)"/>
                    <xsd:enumeration value="AT-MATIC D FLUID (NIS)"/>
                    <xsd:enumeration value="AT-MATIC J FLUID (NIS)"/>
                    <xsd:enumeration value="AXA CO 1 (TOT)"/>
                    <xsd:enumeration value="AXA GA 3 (TOT)"/>
                    <xsd:enumeration value="AXA GR 1 (TOT)"/>
                    <xsd:enumeration value="AXLE OIL 85W140 (VOL)"/>
                    <xsd:enumeration value="AZOLLA AF 100 (TOT)"/>
                    <xsd:enumeration value="AZOLLA AF 150 (TOT)"/>
                    <xsd:enumeration value="AZOLLA AF 22 (TOT)"/>
                    <xsd:enumeration value="AZOLLA AF 220 (TOT)"/>
                    <xsd:enumeration value="AZOLLA AF 32 (TOT)"/>
                    <xsd:enumeration value="AZOLLA AF 320 (TOT)"/>
                    <xsd:enumeration value="AZOLLA AF 46 (TOT)"/>
                    <xsd:enumeration value="AZOLLA AF 68 (TOT)"/>
                    <xsd:enumeration value="AZOLLA AL 15 (TOT)"/>
                    <xsd:enumeration value="AZOLLA AL 22 (TOT)"/>
                    <xsd:enumeration value="AZOLLA AL 32 (TOT)"/>
                    <xsd:enumeration value="AZOLLA AL 46 (TOT)"/>
                    <xsd:enumeration value="AZOLLA DZF 10 (TOT)"/>
                    <xsd:enumeration value="AZOLLA DZF 22 (TOT)"/>
                    <xsd:enumeration value="AZOLLA DZF 32 (TOT)"/>
                    <xsd:enumeration value="AZOLLA DZF 46 (TOT)"/>
                    <xsd:enumeration value="AZOLLA DZF 68 (TOT)"/>
                    <xsd:enumeration value="AZOLLA NET HC (TOT)"/>
                    <xsd:enumeration value="AZOLLA VTR 32 (TOT)"/>
                    <xsd:enumeration value="AZOLLA ZS 10 (TOT)"/>
                    <xsd:enumeration value="AZOLLA ZS 100 (TOT)"/>
                    <xsd:enumeration value="AZOLLA ZS 150 (TOT)"/>
                    <xsd:enumeration value="AZOLLA ZS 22 (TOT)"/>
                    <xsd:enumeration value="AZOLLA ZS 32 (TOT)"/>
                    <xsd:enumeration value="AZOLLA ZS 46 (TOT)"/>
                    <xsd:enumeration value="AZOLLA ZS 68 (TOT)"/>
                    <xsd:enumeration value="B08/0104A FLUIDE G3 FF (TOT)"/>
                    <xsd:enumeration value="B8600 10W50 (SYM)"/>
                    <xsd:enumeration value="BEST 5W40 (ERP)"/>
                    <xsd:enumeration value="BIO 2 TEMPS (RTO)"/>
                    <xsd:enumeration value="BIO CHAINE 100 (RTO)"/>
                    <xsd:enumeration value="BIO LONGEVIA BV ECO 75W80 (RTO)"/>
                    <xsd:enumeration value="BIO LONGEVIA LS ECO 75W90 (RTO)"/>
                    <xsd:enumeration value="BIO MAXIMA ECO 10W30 (RTO)"/>
                    <xsd:enumeration value="BIO ST 32 E (RTO)"/>
                    <xsd:enumeration value="BIO ST 32 ES (RTO)"/>
                    <xsd:enumeration value="BIO ST 46 E (RTO)"/>
                    <xsd:enumeration value="BIO ST 46 ES (RTO)"/>
                    <xsd:enumeration value="BIO ST 68 E (RTO)"/>
                    <xsd:enumeration value="BIO ST 68 ES (RTO)"/>
                    <xsd:enumeration value="BIOADHESIVE PLUS (TOT)"/>
                    <xsd:enumeration value="BIOFLUSH 22 (TOT)"/>
                    <xsd:enumeration value="BIOGREASE NLGI 0 (NEU)"/>
                    <xsd:enumeration value="BIOGREASE SEP 2 (NEU)"/>
                    <xsd:enumeration value="BIOHYDRAN FG (TOT)"/>
                    <xsd:enumeration value="BIOHYDRAN RS 38 B (TOT)"/>
                    <xsd:enumeration value="BIOHYDRAN SE 32 (TOT)"/>
                    <xsd:enumeration value="BIOHYDRAN SE 46 (TOT)"/>
                    <xsd:enumeration value="BIOHYDRAN SE 68 (TOT)"/>
                    <xsd:enumeration value="BIOHYDRAN TMP 100 (TOT)"/>
                    <xsd:enumeration value="BIOHYDRAN TMP 32 (TOT)"/>
                    <xsd:enumeration value="BIOHYDRAN TMP 46 (TOT)"/>
                    <xsd:enumeration value="BIOHYDRAN TMP 68 (TOT)"/>
                    <xsd:enumeration value="BIOMERKAN RS (TOT)"/>
                    <xsd:enumeration value="BIOMULTIS EP 2 (TOT)"/>
                    <xsd:enumeration value="BIOMULTIS SEP 2 (TOT)"/>
                    <xsd:enumeration value="BioPreslia HT 100 (TOT)"/>
                    <xsd:enumeration value="BioPreslia HT 22 (TOT)"/>
                    <xsd:enumeration value="BioPreslia HT 32 (TOT)"/>
                    <xsd:enumeration value="BioPreslia HT 46 (TOT)"/>
                    <xsd:enumeration value="BioPreslia HT 68 (TOT)"/>
                    <xsd:enumeration value="BIOTRAFFIC 1000 FE 10W30 (TOT)"/>
                    <xsd:enumeration value="BIOTRANS BV FE 75W80 (TOT)"/>
                    <xsd:enumeration value="BIOTRANS FX (TOT)"/>
                    <xsd:enumeration value="BIOTRANS LS FE 75W90 (TOT)"/>
                    <xsd:enumeration value="BISON (IMP)"/>
                    <xsd:enumeration value="BLUE CONCENTRATE (TOT)"/>
                    <xsd:enumeration value="BRAKE FLUID (NIS)"/>
                    <xsd:enumeration value="BVX 1000 75W90 (YAC)"/>
                    <xsd:enumeration value="BVX C 100 80W90 (YAC)"/>
                    <xsd:enumeration value="BVX LS 200 80W90 (YAC)"/>
                    <xsd:enumeration value="BVX R 200 75W80 (YAC)"/>
                    <xsd:enumeration value="BVX R 500 75W80 (YAC)"/>
                    <xsd:enumeration value="C9 5W50 SN (CTE)"/>
                    <xsd:enumeration value="CALORIS 23 (TOT)"/>
                    <xsd:enumeration value="CALORIS MS 23 (TOT)"/>
                    <xsd:enumeration value="CALPLEX 1 (NEU)"/>
                    <xsd:enumeration value="CAPRANO ENERGY FE (TOT)"/>
                    <xsd:enumeration value="CAPRANO M 30 (TOT)"/>
                    <xsd:enumeration value="CAPRANO M 40 (TOT)"/>
                    <xsd:enumeration value="CAPRANO MT 30 (TOT)"/>
                    <xsd:enumeration value="CAPRANO MT 40 (TOT)"/>
                    <xsd:enumeration value="CAPRANO SPECIAL 15W40 (TOT)"/>
                    <xsd:enumeration value="CAPRANO SPECIAL 30 (TOT)"/>
                    <xsd:enumeration value="CAPRANO SPECIAL 40 (TOT)"/>
                    <xsd:enumeration value="CAPRANO TC 30 (TOT)"/>
                    <xsd:enumeration value="CAPRANO TC 40 (TOT)"/>
                    <xsd:enumeration value="CAPRANO TD 15W40 (TOT)"/>
                    <xsd:enumeration value="CAPRANO TD 30 (TOT)"/>
                    <xsd:enumeration value="CAPRANO TD 40 (TOT)"/>
                    <xsd:enumeration value="CAPRANO TDH 15W40 (TOT)"/>
                    <xsd:enumeration value="CAPRANO TDI 15W40 (TOT)"/>
                    <xsd:enumeration value="CAPRANO TDJ 15W40 (TOT)"/>
                    <xsd:enumeration value="CAPRANO TDJ FE 10W 30 (TOT)"/>
                    <xsd:enumeration value="CAR TECH E9 5W30 (CTE)"/>
                    <xsd:enumeration value="CARDREXA RNT 2 (ELF)"/>
                    <xsd:enumeration value="CARTER ALS 220 (TOT)"/>
                    <xsd:enumeration value="CARTER ALS 460 (TOT)"/>
                    <xsd:enumeration value="CARTER BIO 150 (TOT)"/>
                    <xsd:enumeration value="CARTER BIO 220 (TOT)"/>
                    <xsd:enumeration value="CARTER BIO 320 (TOT)"/>
                    <xsd:enumeration value="CARTER BIO 460 (TOT)"/>
                    <xsd:enumeration value="CARTER BIO 68 (TOT)"/>
                    <xsd:enumeration value="CARTER ENS 400 (TOT)"/>
                    <xsd:enumeration value="CARTER ENS/EP 700 (TOT)"/>
                    <xsd:enumeration value="CARTER ENS/EP 700 AER (TOT)"/>
                    <xsd:enumeration value="CARTER EP 100 (TOT)"/>
                    <xsd:enumeration value="CARTER EP 1000 (TOT)"/>
                    <xsd:enumeration value="CARTER EP 150 (TOT)"/>
                    <xsd:enumeration value="CARTER EP 1500 (TOT)"/>
                    <xsd:enumeration value="CARTER EP 220 (TOT)"/>
                    <xsd:enumeration value="CARTER EP 2200 (TOT)"/>
                    <xsd:enumeration value="CARTER EP 3000 (TOT)"/>
                    <xsd:enumeration value="CARTER EP 320 (TOT)"/>
                    <xsd:enumeration value="CARTER EP 460 (TOT)"/>
                    <xsd:enumeration value="CARTER EP 68 (TOT)"/>
                    <xsd:enumeration value="CARTER EP 680 (TOT)"/>
                    <xsd:enumeration value="CARTER GV (TOT)"/>
                    <xsd:enumeration value="CARTER MS 100 (TOT)"/>
                    <xsd:enumeration value="CARTER OGL 1000 M (TOT)"/>
                    <xsd:enumeration value="CARTER PLUS 150 (TOT)"/>
                    <xsd:enumeration value="CARTER PLUS 220 (TOT)"/>
                    <xsd:enumeration value="CARTER PLUS 320 (TOT)"/>
                    <xsd:enumeration value="CARTER SG 100 (TOT)"/>
                    <xsd:enumeration value="CARTER SG 1000 (TOT)"/>
                    <xsd:enumeration value="CARTER SG 150 (TOT)"/>
                    <xsd:enumeration value="CARTER SG 220 (TOT)"/>
                    <xsd:enumeration value="CARTER SG 320 (TOT)"/>
                    <xsd:enumeration value="CARTER SG 460 (TOT)"/>
                    <xsd:enumeration value="CARTER SG 680 (TOT)"/>
                    <xsd:enumeration value="CARTER SH 1000 (TOT)"/>
                    <xsd:enumeration value="CARTER SH 150 (TOT)"/>
                    <xsd:enumeration value="CARTER SH 220 (TOT)"/>
                    <xsd:enumeration value="CARTER SH 320 (TOT)"/>
                    <xsd:enumeration value="CARTER SH 460 (TOT)"/>
                    <xsd:enumeration value="CARTER SH 680 (TOT)"/>
                    <xsd:enumeration value="CARTER SY 150 (TOT)"/>
                    <xsd:enumeration value="CARTER SY 220 (TOT)"/>
                    <xsd:enumeration value="CARTER SY 320 (TOT)"/>
                    <xsd:enumeration value="CARTER SY 460 (TOT)"/>
                    <xsd:enumeration value="CARTER SY 680 (TOT)"/>
                    <xsd:enumeration value="CARTER XEP 1000 (TOT)"/>
                    <xsd:enumeration value="CARTER XEP 150 (TOT)"/>
                    <xsd:enumeration value="CARTER XEP 220 (TOT)"/>
                    <xsd:enumeration value="CARTER XEP 320 (TOT)"/>
                    <xsd:enumeration value="CARTER XEP 460 (TOT)"/>
                    <xsd:enumeration value="CARTER XEP 680 (TOT)"/>
                    <xsd:enumeration value="CATER 4 30 (RTO)"/>
                    <xsd:enumeration value="CERAN AD PLUS (TOT)"/>
                    <xsd:enumeration value="CERAN CA (TOT)"/>
                    <xsd:enumeration value="CERAN FG (TOT)"/>
                    <xsd:enumeration value="CERAN GEP (TOT)"/>
                    <xsd:enumeration value="CERAN HV (TOT)"/>
                    <xsd:enumeration value="CERAN HVA (TOT)"/>
                    <xsd:enumeration value="CERAN LT (TOT)"/>
                    <xsd:enumeration value="CERAN MBG (TOT)"/>
                    <xsd:enumeration value="CERAN MM (TOT)"/>
                    <xsd:enumeration value="CERAN MS (TOT)"/>
                    <xsd:enumeration value="CERAN MS 1,5 (TOT)"/>
                    <xsd:enumeration value="CERAN PM (TOT)"/>
                    <xsd:enumeration value="CERAN ST 2 (TOT)"/>
                    <xsd:enumeration value="CERAN WR 1 (TOT)"/>
                    <xsd:enumeration value="CERAN WR 2 (TOT)"/>
                    <xsd:enumeration value="CERAN XM 100 (TOT)"/>
                    <xsd:enumeration value="CERAN XM 220 (TOT)"/>
                    <xsd:enumeration value="CERAN XM 220 MOLY (TOT)"/>
                    <xsd:enumeration value="CERAN XM 460 (TOT)"/>
                    <xsd:enumeration value="CERAN XM 720 (TOT)"/>
                    <xsd:enumeration value="CERAN XS 320 (TOT)"/>
                    <xsd:enumeration value="CERAN XS 40 MOLY (TOT)"/>
                    <xsd:enumeration value="CERAN XS 80 (TOT)"/>
                    <xsd:enumeration value="CHAINAC MP (FIN)"/>
                    <xsd:enumeration value="CHAINBIO 100 (TOT)"/>
                    <xsd:enumeration value="CHAINE BIO (RTO)"/>
                    <xsd:enumeration value="CIRALUG VT 01 (PTN)"/>
                    <xsd:enumeration value="CIRKAN C 100 (TOT)"/>
                    <xsd:enumeration value="CIRKAN C 150 (TOT)"/>
                    <xsd:enumeration value="CIRKAN C 220 (TOT)"/>
                    <xsd:enumeration value="CIRKAN C 32 (TOT)"/>
                    <xsd:enumeration value="CIRKAN C 320 (TOT)"/>
                    <xsd:enumeration value="CIRKAN C 46 (TOT)"/>
                    <xsd:enumeration value="CIRKAN C 460 (TOT)"/>
                    <xsd:enumeration value="CIRKAN C 68 (TOT)"/>
                    <xsd:enumeration value="CIRKAN RO 100 (TOT)"/>
                    <xsd:enumeration value="CIRKAN RO 150 (TOT)"/>
                    <xsd:enumeration value="CIRKAN RO 220 (TOT)"/>
                    <xsd:enumeration value="CIRKAN RO 32 (TOT)"/>
                    <xsd:enumeration value="CIRKAN RO 320 (TOT)"/>
                    <xsd:enumeration value="CIRKAN RO 46 (TOT)"/>
                    <xsd:enumeration value="CIRKAN RO 460 (TOT)"/>
                    <xsd:enumeration value="CIRKAN RO 68 (TOT)"/>
                    <xsd:enumeration value="CIRKAN ZS 220 (TOT)"/>
                    <xsd:enumeration value="CIRKAN ZS 320 (TOT)"/>
                    <xsd:enumeration value="CLASSIC 10W40 (TOT)"/>
                    <xsd:enumeration value="CLASSIC 15W40 (TOT)"/>
                    <xsd:enumeration value="CLASSIC 20W50 (TOT)"/>
                    <xsd:enumeration value="CLASSIC 5W30 (TOT)"/>
                    <xsd:enumeration value="CLASSIC 5W30 GB (TOT)"/>
                    <xsd:enumeration value="CLASSIC 5W40 (TOT)"/>
                    <xsd:enumeration value="CLASSIC C2 5W30 (TOT)"/>
                    <xsd:enumeration value="CLASSIC C2/C3 5W30 (TOT)"/>
                    <xsd:enumeration value="CLASSIC C3 5W40 (TOT)"/>
                    <xsd:enumeration value="CLASSIC C4 5W30 (TOT)"/>
                    <xsd:enumeration value="CLASSIC SAE 40 (TOT)"/>
                    <xsd:enumeration value="CLASSIC SAE 50 (TOT)"/>
                    <xsd:enumeration value="CLASSIC SL 10W40 (TOT)"/>
                    <xsd:enumeration value="CLASSIC SL 15W40 (TOT)"/>
                    <xsd:enumeration value="CLASSIC SL 20W50 (TOT)"/>
                    <xsd:enumeration value="CLASSIC SM 10W40 (TOT)"/>
                    <xsd:enumeration value="CLASSIC SM 20W50 (TOT)"/>
                    <xsd:enumeration value="CLASSIC SM 5W40 (TOT)"/>
                    <xsd:enumeration value="CLASSIC SM/GF4 10W30 (TOT)"/>
                    <xsd:enumeration value="CLASSIC SM/GF4 5W20 (TOT)"/>
                    <xsd:enumeration value="CLASSIC SM/GF4 5W30 (TOT)"/>
                    <xsd:enumeration value="CLASSIC SN 10W40 (TOT)"/>
                    <xsd:enumeration value="CLASSIC SN 20W50 (TOT)"/>
                    <xsd:enumeration value="CLASSIC SN 20W50 M (TOT)"/>
                    <xsd:enumeration value="CLASSIC SN/GF5 0W-20 (TOT)"/>
                    <xsd:enumeration value="CLASSIC SN/GF5 10W30 (TOT)"/>
                    <xsd:enumeration value="CLASSIC SN/GF5 10W30 M (TOT)"/>
                    <xsd:enumeration value="CLASSIC SN/GF5 10W30 SB (TOT)"/>
                    <xsd:enumeration value="CLASSIC SN/GF5 5W20 (TOT)"/>
                    <xsd:enumeration value="CLASSIC SN/GF5 5W20 M (TOT)"/>
                    <xsd:enumeration value="CLASSIC SN/GF5 5W20 SB (TOT)"/>
                    <xsd:enumeration value="CLASSIC SN/GF5 5W30 (TOT)"/>
                    <xsd:enumeration value="CLASSIC SN/GF5 5W30 M (TOT)"/>
                    <xsd:enumeration value="CLASSIC SN/GF5 5W30 SB (TOT)"/>
                    <xsd:enumeration value="CLEANER F (TOT)"/>
                    <xsd:enumeration value="CLEANER V (TOT)"/>
                    <xsd:enumeration value="CNH 100 (RTO)"/>
                    <xsd:enumeration value="CNH 150 (RTO)"/>
                    <xsd:enumeration value="CNH SH 100 (RTO)"/>
                    <xsd:enumeration value="CNH SM 46 (RTO)"/>
                    <xsd:enumeration value="CNH VS 32 (RTO)"/>
                    <xsd:enumeration value="CNH VS 46 (RTO)"/>
                    <xsd:enumeration value="COILPACK 2001 APZ"/>
                    <xsd:enumeration value="COILPACK EM 02 (TXL)"/>
                    <xsd:enumeration value="COILPACK EM 03 (TXL)"/>
                    <xsd:enumeration value="COILPACK KO 06 (TXL)"/>
                    <xsd:enumeration value="COILPACK KO 07 (TXL)"/>
                    <xsd:enumeration value="COILPACK KO 08 (TXL)"/>
                    <xsd:enumeration value="COILPACK VI (PTN)"/>
                    <xsd:enumeration value="COMPETITION FT 10W40 (ELF)"/>
                    <xsd:enumeration value="COMPETITION FT 15W50 (ELF)"/>
                    <xsd:enumeration value="COMPETITION FT 5W40 (ELF)"/>
                    <xsd:enumeration value="COMPETITION FTX 5W30 (ELF)"/>
                    <xsd:enumeration value="COMPETITION SM 10W40 (ELF)"/>
                    <xsd:enumeration value="COMPETITION SM 15W50 (ELF)"/>
                    <xsd:enumeration value="COMPETITION ST 10W40 (ELF)"/>
                    <xsd:enumeration value="COMPETITION ST 15W50 (ELF)"/>
                    <xsd:enumeration value="COMPETITION STI 10W40 (ELF)"/>
                    <xsd:enumeration value="COMPRESSEUR A 68 (TOT)"/>
                    <xsd:enumeration value="COMPRIMAX (ELF)"/>
                    <xsd:enumeration value="CONTRAM CB 3 (TOT)"/>
                    <xsd:enumeration value="COOLAGRI ORGANIC -37°C (TOT)"/>
                    <xsd:enumeration value="COOLELF AUTO SUPRA -26°C (TOT)"/>
                    <xsd:enumeration value="COOLELF AUTO SUPRA -37°C (TOT)"/>
                    <xsd:enumeration value="COOLELF AUTO SUPRA -50°C (TOT)"/>
                    <xsd:enumeration value="COOLELF CHP SUPRA (TOT)"/>
                    <xsd:enumeration value="COOLELF CLASSIC -26°C (TOT)"/>
                    <xsd:enumeration value="COOLELF ECO BS (TOT)"/>
                    <xsd:enumeration value="COOLELF FR CP (TOT)"/>
                    <xsd:enumeration value="COOLELF FR RD (TOT)"/>
                    <xsd:enumeration value="COOLELF G13 (TOT)"/>
                    <xsd:enumeration value="COOLELF MDX -26°C (TOT)"/>
                    <xsd:enumeration value="COOLELF MDX -37°C (TOT)"/>
                    <xsd:enumeration value="COOLELF MPG LIGHT SUPRA (TOT)"/>
                    <xsd:enumeration value="COOLELF MPG SUPRA (TOT)"/>
                    <xsd:enumeration value="COOLELF PLUS -26°C (TOT)"/>
                    <xsd:enumeration value="COOLELF PLUS -37°C (TOT)"/>
                    <xsd:enumeration value="COOLELF SI OAT (TOT)"/>
                    <xsd:enumeration value="COOLELF SUPRA (TOT)"/>
                    <xsd:enumeration value="COOLELF SUPRA -37°C (TOT)"/>
                    <xsd:enumeration value="COOLELF SUPRA GF NP (TOT)"/>
                    <xsd:enumeration value="COOLING LIQUID -35 (ELF)"/>
                    <xsd:enumeration value="COPAL EP 00 (TOT)"/>
                    <xsd:enumeration value="COPAL EP 2 (TOT)"/>
                    <xsd:enumeration value="COPAL GEP 0 (TOT)"/>
                    <xsd:enumeration value="COPAL MS 2 (TOT)"/>
                    <xsd:enumeration value="COPAL OGL 0 (TOT)"/>
                    <xsd:enumeration value="COPAL OGL 1 (TOT)"/>
                    <xsd:enumeration value="COPAL OGL 2 (TOT)"/>
                    <xsd:enumeration value="COPAL SPRAY-AEROSOL (TOT)"/>
                    <xsd:enumeration value="CORTIS DAC 100 (TOT)"/>
                    <xsd:enumeration value="CORTIS MS 100 (TOT)"/>
                    <xsd:enumeration value="CORTIS MS 150 (TOT)"/>
                    <xsd:enumeration value="CORTIS MS 220 (TOT)"/>
                    <xsd:enumeration value="CORTIS MS 320 (TOT)"/>
                    <xsd:enumeration value="CORTIS MS 460 (TOT)"/>
                    <xsd:enumeration value="CORTIS MS 680 (TOT)"/>
                    <xsd:enumeration value="CORTIS SHT 200 (TOT)"/>
                    <xsd:enumeration value="CORTIS XHT 245  (TOT)"/>
                    <xsd:enumeration value="CORTIS XHT 320  (TOT)"/>
                    <xsd:enumeration value="CORTIS XHT 68 (TOT)"/>
                    <xsd:enumeration value="COTTEXA (TOT)"/>
                    <xsd:enumeration value="CYL 1000 (TOT)"/>
                    <xsd:enumeration value="CYL 460 (TOT)"/>
                    <xsd:enumeration value="CYL 680 (TOT)"/>
                    <xsd:enumeration value="CYL C 460 (TOT)"/>
                    <xsd:enumeration value="CYL C 680 (TOT)"/>
                    <xsd:enumeration value="DACNIS 100 (TOT)"/>
                    <xsd:enumeration value="DACNIS 150 (TOT)"/>
                    <xsd:enumeration value="DACNIS 32 (TOT)"/>
                    <xsd:enumeration value="DACNIS 46 (TOT)"/>
                    <xsd:enumeration value="DACNIS 68 (TOT)"/>
                    <xsd:enumeration value="DACNIS LD 32 (TOT)"/>
                    <xsd:enumeration value="DACNIS LD 46 (TOT)"/>
                    <xsd:enumeration value="DACNIS LD 68 (TOT)"/>
                    <xsd:enumeration value="DACNIS LPG 150 (TOT)"/>
                    <xsd:enumeration value="DACNIS P 220 CD (TOT)"/>
                    <xsd:enumeration value="DACNIS PG 46 (TOT)"/>
                    <xsd:enumeration value="DACNIS SE 100 (TOT)"/>
                    <xsd:enumeration value="DACNIS SE 46 (TOT)"/>
                    <xsd:enumeration value="DACNIS SE 68 (TOT)"/>
                    <xsd:enumeration value="DACNIS SH 100 (TOT)"/>
                    <xsd:enumeration value="DACNIS SH 32 (TOT)"/>
                    <xsd:enumeration value="DACNIS SH 46 (TOT)"/>
                    <xsd:enumeration value="DACNIS SH 68 (TOT)"/>
                    <xsd:enumeration value="DACNIS SS 46 (TOT)"/>
                    <xsd:enumeration value="DACNIS VS 32 (TOT)"/>
                    <xsd:enumeration value="DACNIS VS 46 (TOT)"/>
                    <xsd:enumeration value="DACNIS VS 68 (TOT)"/>
                    <xsd:enumeration value="DAF HYDRAULIC HV 32 (DAF)"/>
                    <xsd:enumeration value="DAF HYDRAULIC HV 46 (DAF)"/>
                    <xsd:enumeration value="DAF PREMIUM 10W40 (DAF)"/>
                    <xsd:enumeration value="DAF PREMIUM 75W80 (DAF)"/>
                    <xsd:enumeration value="DAF PREMIUM 80W90 (DAF)"/>
                    <xsd:enumeration value="DAF PREMIUM 85W140 (DAF)"/>
                    <xsd:enumeration value="DAF SUPER 15W40 (DAF)"/>
                    <xsd:enumeration value="DAF SUPER 30 (DAF)"/>
                    <xsd:enumeration value="DAF SUPER 80W90 (DAF)"/>
                    <xsd:enumeration value="DAF XTREME 10W30 (DAF)"/>
                    <xsd:enumeration value="DAF XTREME 5W30 (DAF)"/>
                    <xsd:enumeration value="DAF XTREME 75W80 (DAF)"/>
                    <xsd:enumeration value="DAF XTREME 75W90 (DAF)"/>
                    <xsd:enumeration value="DAF XTREME ATF (DAF)"/>
                    <xsd:enumeration value="DAF XTREME FE 10W30 (DAF)"/>
                    <xsd:enumeration value="DAF XTREME LD 10W40 (DAF)"/>
                    <xsd:enumeration value="DAF XTREME LD FE 10W30 (DAF)"/>
                    <xsd:enumeration value="DAF XTREME LD FE 5W30 (DAF)"/>
                    <xsd:enumeration value="DAG 1 A (TOT)"/>
                    <xsd:enumeration value="DAG 1A INA (TOT)"/>
                    <xsd:enumeration value="DCAD A5/B5 5W30 (CIT)"/>
                    <xsd:enumeration value="DCAD INEO ECS C2 5W30 (CIT)"/>
                    <xsd:enumeration value="DCAD SM 5W30 (CIT)"/>
                    <xsd:enumeration value="DEGREASER EF (SOS)"/>
                    <xsd:enumeration value="DELTA OPTIMA 10W40 API SM (FIN)"/>
                    <xsd:enumeration value="DELTA SUPER 10 (FIN)"/>
                    <xsd:enumeration value="DELTA SUPER 30 (FIN)"/>
                    <xsd:enumeration value="DELTA SUPERIOR M 15W40 (FIN)"/>
                    <xsd:enumeration value="DEO HKC2 5W30 (TOT)"/>
                    <xsd:enumeration value="DETERFIX CR 677 (TXL)"/>
                    <xsd:enumeration value="DETERFIX HE 656 (TXL)"/>
                    <xsd:enumeration value="DETERFIX TB 615 Z (TXL)"/>
                    <xsd:enumeration value="DETERFIX TB 6153 (TXL)"/>
                    <xsd:enumeration value="DETERFIX TB 630 Z (TXL)"/>
                    <xsd:enumeration value="DETERFIX TB 660 Z (TXL)"/>
                    <xsd:enumeration value="DETERFIX TB 6800 Z (TXL)"/>
                    <xsd:enumeration value="DETERFIX TB 6900 Z (PTN)"/>
                    <xsd:enumeration value="DEVELOPER C (HER)"/>
                    <xsd:enumeration value="DEXOS1 5W30 ENGINE OIL (SGM)"/>
                    <xsd:enumeration value="DEXRON III (YUN)"/>
                    <xsd:enumeration value="DFF GP23 CRX 10W30 (NEU)"/>
                    <xsd:enumeration value="DIAXOL (TOT)"/>
                    <xsd:enumeration value="DIAXOL CDS (TOT)"/>
                    <xsd:enumeration value="DIEL MS 5000 (TOT)"/>
                    <xsd:enumeration value="DIEL MS 7000 (TOT)"/>
                    <xsd:enumeration value="DIEL MS 9000 (TOT)"/>
                    <xsd:enumeration value="DIFFERENTIAL FLUID (NIS)"/>
                    <xsd:enumeration value="DISAL HD MAX SAE 40 (TOT)"/>
                    <xsd:enumeration value="DISAL HD MAX SAE 50 (TOT)"/>
                    <xsd:enumeration value="DISC BRAKE FLUID DOT 4 (FIN)"/>
                    <xsd:enumeration value="DISOLA M 3015 (TOT)"/>
                    <xsd:enumeration value="DISOLA M 4015 (TOT)"/>
                    <xsd:enumeration value="DISOLA MT 40 (TOT)"/>
                    <xsd:enumeration value="DISOLA SGS 40 (TOT)"/>
                    <xsd:enumeration value="DIXELF (TOT)"/>
                    <xsd:enumeration value="DPAD A5/B5 5W30 (PEU)"/>
                    <xsd:enumeration value="DPAD INEO ECS C2 5W30 (PEU)"/>
                    <xsd:enumeration value="DRASTA B 20 (TOT)"/>
                    <xsd:enumeration value="DRASTA C 1000 (TOT)"/>
                    <xsd:enumeration value="DRASTA C 1000 W (TOT)"/>
                    <xsd:enumeration value="DRASTA C 1022 ( TOT)"/>
                    <xsd:enumeration value="DRASTA C 1032 (TOT)"/>
                    <xsd:enumeration value="DRASTA C 1500 (TOT)"/>
                    <xsd:enumeration value="DRASTA C 5000 (TOT)"/>
                    <xsd:enumeration value="DRASTA C 5022 (TOT)"/>
                    <xsd:enumeration value="DRASTA C 7000 (TOT)"/>
                    <xsd:enumeration value="DRASTA C 7025 (TOT)"/>
                    <xsd:enumeration value="DRASTA C 9022 (TOT)"/>
                    <xsd:enumeration value="DRASTA H 5000 (TOT)"/>
                    <xsd:enumeration value="DRASTA H 5100 (TOT)"/>
                    <xsd:enumeration value="DRASTA H 7000 (TOT)"/>
                    <xsd:enumeration value="DRASTA M 7000 (TOT)"/>
                    <xsd:enumeration value="DRASTA MAX C (TOT)"/>
                    <xsd:enumeration value="DRASTA SY 300 (TOT)"/>
                    <xsd:enumeration value="DRASTA SY 600 (TOT)"/>
                    <xsd:enumeration value="DROSERA HXE 220 (TOT)"/>
                    <xsd:enumeration value="DROSERA HXE 68 (TOT)"/>
                    <xsd:enumeration value="DROSERA MS 10 (TOT)"/>
                    <xsd:enumeration value="DROSERA MS 100 (TOT)"/>
                    <xsd:enumeration value="DROSERA MS 15 (TOT)"/>
                    <xsd:enumeration value="DROSERA MS 150 (TOT)"/>
                    <xsd:enumeration value="DROSERA MS 2 (TOT)"/>
                    <xsd:enumeration value="DROSERA MS 22 (TOT)"/>
                    <xsd:enumeration value="DROSERA MS 220 (TOT)"/>
                    <xsd:enumeration value="DROSERA MS 32 (TOT)"/>
                    <xsd:enumeration value="DROSERA MS 320 (TOT)"/>
                    <xsd:enumeration value="DROSERA MS 46 (TOT)"/>
                    <xsd:enumeration value="DROSERA MS 460 (TOT)"/>
                    <xsd:enumeration value="DROSERA MS 5 (TOT)"/>
                    <xsd:enumeration value="DROSERA MS 68 (TOT)"/>
                    <xsd:enumeration value="DYE PENETRANT B (HER)"/>
                    <xsd:enumeration value="DYNATRANS AC 0W20 (TOT)"/>
                    <xsd:enumeration value="DYNATRANS AC 10W (TOT)"/>
                    <xsd:enumeration value="DYNATRANS AC 10W30 (TOT)"/>
                    <xsd:enumeration value="DYNATRANS AC 30 (TOT)"/>
                    <xsd:enumeration value="DYNATRANS AC 50 (TOT)"/>
                    <xsd:enumeration value="DYNATRANS AC 60 (TOT)"/>
                    <xsd:enumeration value="DYNATRANS ACX 0W20 (TOT)"/>
                    <xsd:enumeration value="DYNATRANS ACX 10W (TOT)"/>
                    <xsd:enumeration value="DYNATRANS ACX 30 (TOT)"/>
                    <xsd:enumeration value="DYNATRANS ACX 50 (TOT)"/>
                    <xsd:enumeration value="DYNATRANS ACX 60 (TOT)"/>
                    <xsd:enumeration value="DYNATRANS CVT 10W30 (TOT)"/>
                    <xsd:enumeration value="DYNATRANS DA 80W90 (TOT)"/>
                    <xsd:enumeration value="DYNATRANS DA 85W140 (TOT)"/>
                    <xsd:enumeration value="DYNATRANS DA 85W90 (TOT)"/>
                    <xsd:enumeration value="DYNATRANS FD-1 SAE 60 (TOT)"/>
                    <xsd:enumeration value="DYNATRANS FR (TOT)"/>
                    <xsd:enumeration value="DYNATRANS GEA 680 (TOT)"/>
                    <xsd:enumeration value="DYNATRANS HD 80W90 (TOT)"/>
                    <xsd:enumeration value="DYNATRANS HD 85W140 (TOT)"/>
                    <xsd:enumeration value="DYNATRANS LS 20W40 (TOT)"/>
                    <xsd:enumeration value="DYNATRANS LS 80W90 (TOT)"/>
                    <xsd:enumeration value="DYNATRANS MDL 80W90 (TOT)"/>
                    <xsd:enumeration value="DYNATRANS MPV (TOT)"/>
                    <xsd:enumeration value="DYNATRANS MPWB (TOT)"/>
                    <xsd:enumeration value="DYNATRANS VX FE (TOT)"/>
                    <xsd:enumeration value="DYNATRANS WS 75W90 (TOT)"/>
                    <xsd:enumeration value="E7 ENGINE OIL 15W40 (SCA)"/>
                    <xsd:enumeration value="EBOTEC BT 80"/>
                    <xsd:enumeration value="EKOFINA TURBO LL 10W40 (FIN)"/>
                    <xsd:enumeration value="ELECTROFIX FP 37 (TXL)"/>
                    <xsd:enumeration value="ELECTROFIX NT 4820 (TXL)"/>
                    <xsd:enumeration value="ELECTROFIX NT 75 (TXL)"/>
                    <xsd:enumeration value="ELECTROFIX PPA 982 (TXL)"/>
                    <xsd:enumeration value="ELFMATIC CVT (ELF)"/>
                    <xsd:enumeration value="ELFMATIC CVT MV (ELF)"/>
                    <xsd:enumeration value="ELFMATIC DCT MV (ELF)"/>
                    <xsd:enumeration value="ELFMATIC F (ELF)"/>
                    <xsd:enumeration value="ELFMATIC G3 (ELF)"/>
                    <xsd:enumeration value="ELFMATIC G3 SYN (ELF)"/>
                    <xsd:enumeration value="ELFMATIC IID (ELF)"/>
                    <xsd:enumeration value="ELFMATIC IIIG (ELF)"/>
                    <xsd:enumeration value="ELFMATIC J6 (ELF)"/>
                    <xsd:enumeration value="ELFMATIC MV (ELF)"/>
                    <xsd:enumeration value="ELFMATIC MV LV (ELF)"/>
                    <xsd:enumeration value="ELFOLNA DS 32 (ELF)"/>
                    <xsd:enumeration value="ELFOLNA DS 46 (ELF)"/>
                    <xsd:enumeration value="ELFOLNA DS 68 (ELF)"/>
                    <xsd:enumeration value="EMETAN M (TOT)"/>
                    <xsd:enumeration value="EMETAN T (TOT)"/>
                    <xsd:enumeration value="ENERGY SAVING 5W30 (GUL)"/>
                    <xsd:enumeration value="ENGINE OIL 10W40 DH-2 (HIT)"/>
                    <xsd:enumeration value="ENGINE OIL 15W40 DH-1 (HIT)"/>
                    <xsd:enumeration value="ENGINE OIL VDS-3 10W40 (VOL)"/>
                    <xsd:enumeration value="ENGINE OIL VDS-3 15W40 (VOL)"/>
                    <xsd:enumeration value="ENGINE OIL VDS-4 10W30 (VOL)"/>
                    <xsd:enumeration value="ENSIMAGE C 60 APZ"/>
                    <xsd:enumeration value="EP 80W (TOT)"/>
                    <xsd:enumeration value="EP 80W85 (TOT)"/>
                    <xsd:enumeration value="EP 80W90 (RTO)"/>
                    <xsd:enumeration value="EP 80W90 (TOT)"/>
                    <xsd:enumeration value="EP 90 GL (RTO)"/>
                    <xsd:enumeration value="EP B 80W90 (TOT)"/>
                    <xsd:enumeration value="EP B 85W140 (TOT)"/>
                    <xsd:enumeration value="EP B 85W90 (TOT)"/>
                    <xsd:enumeration value="EPEXELF XM 220 (ELF)"/>
                    <xsd:enumeration value="EPEXFIL 2 (ELF)"/>
                    <xsd:enumeration value="EPMF (RTO)"/>
                    <xsd:enumeration value="EQUIVIS AF 32 (TOT)"/>
                    <xsd:enumeration value="EQUIVIS AF 46 (TOT)"/>
                    <xsd:enumeration value="EQUIVIS AF 68 (TOT)"/>
                    <xsd:enumeration value="EQUIVIS D 46 (TOT)"/>
                    <xsd:enumeration value="EQUIVIS HE 32 (TOT)"/>
                    <xsd:enumeration value="EQUIVIS HE 46 (TOT)"/>
                    <xsd:enumeration value="EQUIVIS HE 68 (TOT)"/>
                    <xsd:enumeration value="EQUIVIS XLT 15 (TOT)"/>
                    <xsd:enumeration value="EQUIVIS XLT 22 (TOT)"/>
                    <xsd:enumeration value="EQUIVIS XLT 32 (TOT)"/>
                    <xsd:enumeration value="EQUIVIS XV 32 (TOT)"/>
                    <xsd:enumeration value="EQUIVIS XV 46 (TOT)"/>
                    <xsd:enumeration value="EQUIVIS ZS 100 (TOT)"/>
                    <xsd:enumeration value="EQUIVIS ZS 15 (TOT)"/>
                    <xsd:enumeration value="EQUIVIS ZS 22 (TOT)"/>
                    <xsd:enumeration value="EQUIVIS ZS 32 (TOT)"/>
                    <xsd:enumeration value="EQUIVIS ZS 46 (TOT)"/>
                    <xsd:enumeration value="EQUIVIS ZS 68 (TOT)"/>
                    <xsd:enumeration value="ESSENTIAL 10W40 (GUL)"/>
                    <xsd:enumeration value="ETIRELF T 474 FE/B (TOT)"/>
                    <xsd:enumeration value="ETIRELF VAV 02 (TOT)"/>
                    <xsd:enumeration value="EVOL. 300 15W40 (ELF)"/>
                    <xsd:enumeration value="EVOL. 300 20W50 (ELF)"/>
                    <xsd:enumeration value="EVOL. 300 FT 10W30 (ELF)"/>
                    <xsd:enumeration value="EVOL. 300 FT 15W40 (ELF)"/>
                    <xsd:enumeration value="EVOL. 300 FT 20W50 (ELF)"/>
                    <xsd:enumeration value="EVOL. 300 FT 5W30 (ELF)"/>
                    <xsd:enumeration value="EVOL. 300 SAE 40 (ELF)"/>
                    <xsd:enumeration value="EVOL. 300 SAE 50 (ELF)"/>
                    <xsd:enumeration value="EVOL. 300 SAE 50 (SJ) (ELF)"/>
                    <xsd:enumeration value="EVOL. 300 SAE40 (SJ) (ELF)"/>
                    <xsd:enumeration value="EVOL. 400 10W30 (ELF)"/>
                    <xsd:enumeration value="EVOL. 400 15W40 (ELF)"/>
                    <xsd:enumeration value="EVOL. 400 20W50 (ELF)"/>
                    <xsd:enumeration value="EVOL. 400 5W30 (ELF)"/>
                    <xsd:enumeration value="EVOL. 400 FT 10W40 (ELF)"/>
                    <xsd:enumeration value="EVOL. 400 FT 15W50 (ELF)"/>
                    <xsd:enumeration value="EVOL. 400 FT 20W50 (ELF)"/>
                    <xsd:enumeration value="EVOL. 400 FT 5W30 (ELF)"/>
                    <xsd:enumeration value="EVOL. 500 DIESEL 15W40 (ELF)"/>
                    <xsd:enumeration value="EVOL. 500 FT 10W40 (ELF)"/>
                    <xsd:enumeration value="EVOL. 500 FT 15W40 (ELF)"/>
                    <xsd:enumeration value="EVOL. 500 FT 15W50 (ELF)"/>
                    <xsd:enumeration value="EVOL. 500 FT 20W50 (ELF)"/>
                    <xsd:enumeration value="EVOL. 500 FTX 10W30 (ELF)"/>
                    <xsd:enumeration value="EVOL. 500 FTX 5W20 (ELF)"/>
                    <xsd:enumeration value="EVOL. 500 FTX 5W30 (ELF)"/>
                    <xsd:enumeration value="EVOL. 500 TS 15W40 (ELF)"/>
                    <xsd:enumeration value="EVOL. 500 TS 20W50 (ELF)"/>
                    <xsd:enumeration value="EVOL. 500 TURBO D 15W40 (ELF)"/>
                    <xsd:enumeration value="EVOL. 700 FT 10W40 (ELF)"/>
                    <xsd:enumeration value="EVOL. 700 FT 15W50 (ELF)"/>
                    <xsd:enumeration value="EVOL. 700 FT 5W40 (ELF)"/>
                    <xsd:enumeration value="EVOL. 700 FTC 5W40 (ELF)"/>
                    <xsd:enumeration value="EVOL. 700 FTX 10W30 (ELF)"/>
                    <xsd:enumeration value="EVOL. 700 FTX 5W20 (ELF)"/>
                    <xsd:enumeration value="EVOL. 700 FTX 5W30 (ELF)"/>
                    <xsd:enumeration value="EVOL. 700 SM 10W40 (ELF)"/>
                    <xsd:enumeration value="EVOL. 700 SM 15W50 (ELF)"/>
                    <xsd:enumeration value="EVOL. 700 SM 5W50 (ELF)"/>
                    <xsd:enumeration value="EVOL. 700 ST 10W40 (ELF)"/>
                    <xsd:enumeration value="EVOL. 700 ST 10W40 (SN) (ELF)"/>
                    <xsd:enumeration value="EVOL. 700 ST 15W50 (ELF)"/>
                    <xsd:enumeration value="EVOL. 700 STI 10W40 (ELF)"/>
                    <xsd:enumeration value="EVOL. 700 STI 10W40 (SN) (ELF)"/>
                    <xsd:enumeration value="EVOL. 700 TD 10W40 (SN) (ELF)"/>
                    <xsd:enumeration value="EVOL. 700 TURBO D 10W40 (ELF)"/>
                    <xsd:enumeration value="EVOL. 900 5W30 (ELF)"/>
                    <xsd:enumeration value="EVOL. 900 5W40 (ELF)"/>
                    <xsd:enumeration value="EVOL. 900 5W50 (ELF)"/>
                    <xsd:enumeration value="EVOL. 900 CRV 0W30 (ELF)"/>
                    <xsd:enumeration value="EVOL. 900 DID 5W30 (ELF)"/>
                    <xsd:enumeration value="EVOL. 900 DIESEL 5W30 (ELF)"/>
                    <xsd:enumeration value="EVOL. 900 FT 0W30 (ELF)"/>
                    <xsd:enumeration value="EVOL. 900 FT 0W40 (ELF)"/>
                    <xsd:enumeration value="EVOL. 900 FT 5W30 (ELF)"/>
                    <xsd:enumeration value="EVOL. 900 FT 5W40 (ELF)"/>
                    <xsd:enumeration value="EVOL. 900 FT 5W50 (ELF)"/>
                    <xsd:enumeration value="EVOL. 900 FTA 0W40 (ELF)"/>
                    <xsd:enumeration value="EVOL. 900 FTA 5W40 (ELF)"/>
                    <xsd:enumeration value="EVOL. 900 FTX 0W20 (ELF)"/>
                    <xsd:enumeration value="EVOL. 900 FTX 0W30 (ELF)"/>
                    <xsd:enumeration value="EVOL. 900 FTX 5W20 (ELF)"/>
                    <xsd:enumeration value="EVOL. 900 FTX 5W30 (ELF)"/>
                    <xsd:enumeration value="EVOL. 900 NF 5W40 (ELF)"/>
                    <xsd:enumeration value="EVOL. 900 RACING 1 10W60 (ELF)"/>
                    <xsd:enumeration value="EVOL. 900 SM 5W40 (ELF)"/>
                    <xsd:enumeration value="EVOL. 900 SM 5W50 (ELF)"/>
                    <xsd:enumeration value="EVOL. 900 SXR 5W30 (ELF)"/>
                    <xsd:enumeration value="EVOL. 900 SXR 5W40 (ELF)"/>
                    <xsd:enumeration value="EVOL. 900 TURBO 5W40 (ELF)"/>
                    <xsd:enumeration value="EVOL. 900 USX 5W30 (ELF)"/>
                    <xsd:enumeration value="EVOL. FULLTECH C2 5W30 (ELF)"/>
                    <xsd:enumeration value="EVOL. FULLTECH C3 5W30 (ELF)"/>
                    <xsd:enumeration value="EVOL. FULLTECH C4 5W30 (ELF)"/>
                    <xsd:enumeration value="EVOL. FULLTECH DTX 5W30 (ELF)"/>
                    <xsd:enumeration value="EVOL. FULLTECH FE 5W30 (ELF)"/>
                    <xsd:enumeration value="EVOL. FULLTECH LLX 5W30 (ELF)"/>
                    <xsd:enumeration value="EVOL. FULLTECH LSX 5W40 (ELF)"/>
                    <xsd:enumeration value="EVOL. FULLTECH MSX 5W30 (ELF)"/>
                    <xsd:enumeration value="EVOL. FULLTECH TDI 5W30 (ELF)"/>
                    <xsd:enumeration value="EVOL. PRO TECH 10W40 (ELF)"/>
                    <xsd:enumeration value="EVOL. PRO TECH 15W40 (ELF)"/>
                    <xsd:enumeration value="EVOL. PRO TECH 20W50 (ELF)"/>
                    <xsd:enumeration value="EVOL. PRO TECH 5W30 (ELF)"/>
                    <xsd:enumeration value="EVOL. PRO TECH 5W40 (ELF)"/>
                    <xsd:enumeration value="EVOL. PRO TECH C3 5W30 (ELF)"/>
                    <xsd:enumeration value="EVOL. PRO TECH FT 10W40 (ELF)"/>
                    <xsd:enumeration value="EVOL. PRO TECH FTM 5W30 (ELF)"/>
                    <xsd:enumeration value="EVOL. PRO TECH FTS 5W30 (ELF)"/>
                    <xsd:enumeration value="EVOL. PRO TECH FTX 5W30 (ELF)"/>
                    <xsd:enumeration value="EVOL. RN TECH 10W40 (ELF)"/>
                    <xsd:enumeration value="EVOL. RN TECH 5W30 (ELF)"/>
                    <xsd:enumeration value="EVOL. RN TECH 5W40 (ELF)"/>
                    <xsd:enumeration value="EVOL. RN TECH FE 5W30 (ELF)"/>
                    <xsd:enumeration value="EVOLUTION 5W30 (ELF)"/>
                    <xsd:enumeration value="EVOLUTION 5W40 (ELF)"/>
                    <xsd:enumeration value="EVOLUTION CRV 0W30 (ELF)"/>
                    <xsd:enumeration value="EVOLUTION DIESEL 5W30 (ELF)"/>
                    <xsd:enumeration value="EVOLUTION SXR 5W30 (ELF)"/>
                    <xsd:enumeration value="EVOLUTION SXR 5W40 (ELF)"/>
                    <xsd:enumeration value="EVOLUTION TURBO 5W40 (ELF)"/>
                    <xsd:enumeration value="EXCELLIUM 5W50 (ELF)"/>
                    <xsd:enumeration value="EXCELLIUM C3 5W30 (ELF)"/>
                    <xsd:enumeration value="EXCELLIUM C3 5W40 (ELF)"/>
                    <xsd:enumeration value="EXCELLIUM C4 5W30 (ELF)"/>
                    <xsd:enumeration value="EXCELLIUM DID 5W30 (ELF)"/>
                    <xsd:enumeration value="EXCELLIUM FT 5W40 (ELF)"/>
                    <xsd:enumeration value="EXCELLIUM FT 5W50 (ELF)"/>
                    <xsd:enumeration value="EXCELLIUM FTX 0W20 (ELF)"/>
                    <xsd:enumeration value="EXCELLIUM FTX 5W30 (ELF)"/>
                    <xsd:enumeration value="EXCELLIUM FULL TECH 5W30 (ELF)"/>
                    <xsd:enumeration value="EXCELLIUM FULL-TECH 0W30 (ELF)"/>
                    <xsd:enumeration value="EXCELLIUM FULL-TECH 5W40 (ELF)"/>
                    <xsd:enumeration value="EXCELLIUM NF 5W40 (ELF)"/>
                    <xsd:enumeration value="EXCELLIUM RAC 1 10W60 SN (ELF)"/>
                    <xsd:enumeration value="EXCELLIUM SM 5W40 (ELF)"/>
                    <xsd:enumeration value="EXCELLIUM SM 5W50 (ELF)"/>
                    <xsd:enumeration value="EXCELLIUM TDI 5W30 (ELF)"/>
                    <xsd:enumeration value="EXPERT 10W40 (ERP)"/>
                    <xsd:enumeration value="EXTENSIA FP 10W40 (RTO)"/>
                    <xsd:enumeration value="EXTENSIA FP ECO 10W30 (RTO)"/>
                    <xsd:enumeration value="EXTENSIA ITEC ECO 5W30 (RTO)"/>
                    <xsd:enumeration value="EXTENSIA RXD 10W40 (RTO)"/>
                    <xsd:enumeration value="EXTENSIA RXD ECO 5W30 (RTO)"/>
                    <xsd:enumeration value="EXTENSIA TXD ECO 10W30 (RTO)"/>
                    <xsd:enumeration value="F.SYN DIESEL C3 5W30 (MAZ)"/>
                    <xsd:enumeration value="F8000 10W50 (SYM)"/>
                    <xsd:enumeration value="FF 7900 D07343A 10W30 (DAF)"/>
                    <xsd:enumeration value="FF D05343B LDF 3 (SCA)"/>
                    <xsd:enumeration value="FF LONGEVIA BZV ECO 75W80 (RTO)"/>
                    <xsd:enumeration value="FF PSA EN MA2 G09/0248 (TOT)"/>
                    <xsd:enumeration value="FF PSA TR B130067 (TOT)"/>
                    <xsd:enumeration value="FF REN CO 101202439R (NEU)"/>
                    <xsd:enumeration value="FF REN ST 0206034900 (ELF)"/>
                    <xsd:enumeration value="FF STARMATIC 3 (RTO)"/>
                    <xsd:enumeration value="FF TOY BF GC 325 (TOT)"/>
                    <xsd:enumeration value="FF VWG CO 052774GO (ART)"/>
                    <xsd:enumeration value="FHORI (NEU)"/>
                    <xsd:enumeration value="FINA FIRST 300 10W50 (FIN)"/>
                    <xsd:enumeration value="FINADET FPI (TOT)"/>
                    <xsd:enumeration value="FINADET MF (TOT)"/>
                    <xsd:enumeration value="FINADET SW (TOT)"/>
                    <xsd:enumeration value="FINAMATIC HP (FIN)"/>
                    <xsd:enumeration value="FINAMATIC IID (FIN)"/>
                    <xsd:enumeration value="FINAROL B 5746 (TOT)"/>
                    <xsd:enumeration value="FINASOL BAC (TOT)"/>
                    <xsd:enumeration value="FINASOL BIO (TOT)"/>
                    <xsd:enumeration value="FINASOL FPI (TOT)"/>
                    <xsd:enumeration value="FINASOL HD (TOT)"/>
                    <xsd:enumeration value="FINASOL MF (TOT)"/>
                    <xsd:enumeration value="FINASOL VOC (TOT)"/>
                    <xsd:enumeration value="FINATUROL D (TOT)"/>
                    <xsd:enumeration value="FINATUROL HT-MB 9139516 (TOT)"/>
                    <xsd:enumeration value="FINATUROL K2 (TOT)"/>
                    <xsd:enumeration value="FINAVESTAN A 100 B (TOT)"/>
                    <xsd:enumeration value="FINAVESTAN A 180 B (TOT)"/>
                    <xsd:enumeration value="FINAVESTAN A 210 B (TOT)"/>
                    <xsd:enumeration value="FINAVESTAN A 300 B (TOT)"/>
                    <xsd:enumeration value="FINAVESTAN A 360 B (TOT)"/>
                    <xsd:enumeration value="FINAVESTAN A 50 B (TOT)"/>
                    <xsd:enumeration value="FINAVESTAN A 520 B (TOT)"/>
                    <xsd:enumeration value="FINAVESTAN A 80 B (TOT)"/>
                    <xsd:enumeration value="FIRST 200 15W40 (FIN)"/>
                    <xsd:enumeration value="FIRST 200 20W50 (FIN)"/>
                    <xsd:enumeration value="FIRST 300 10W40 (FIN)"/>
                    <xsd:enumeration value="FIRST 400 5W40 (FIN)"/>
                    <xsd:enumeration value="FIRST 500 504/507 5W30 (FIN)"/>
                    <xsd:enumeration value="FIRST 500 5W30 (FIN)"/>
                    <xsd:enumeration value="FIRST 500 C2 5W30 (FIN)"/>
                    <xsd:enumeration value="FIRST 600 0W30 (FIN)"/>
                    <xsd:enumeration value="FIRST SM 5W40 (FIN)"/>
                    <xsd:enumeration value="FIRST SM 5W50 (FIN)"/>
                    <xsd:enumeration value="FLAMEX 22 (NEU)"/>
                    <xsd:enumeration value="FLAMEX MB (NEU)"/>
                    <xsd:enumeration value="FLUID FHT 66 (ELA)"/>
                    <xsd:enumeration value="FLUID FHT 86 (ELA)"/>
                    <xsd:enumeration value="FLUIDE AT 42 (PSA)"/>
                    <xsd:enumeration value="FLUIDE AT 42 (TOT)"/>
                    <xsd:enumeration value="FLUIDE ATX (TOT)"/>
                    <xsd:enumeration value="FLUIDE CC (TOT)"/>
                    <xsd:enumeration value="FLUIDE DA (PSA)"/>
                    <xsd:enumeration value="FLUIDE DA (TOT)"/>
                    <xsd:enumeration value="FLUIDE G3 (TOT)"/>
                    <xsd:enumeration value="FLUIDE IID (TOT)"/>
                    <xsd:enumeration value="FLUIDE LDS (PSA)"/>
                    <xsd:enumeration value="FLUIDE LDS (TOT)"/>
                    <xsd:enumeration value="FLUIDE PSF (TOT)"/>
                    <xsd:enumeration value="FLUIDE XLD FE (TOT)"/>
                    <xsd:enumeration value="FLUIDEMATIC SYN (TOT)"/>
                    <xsd:enumeration value="FLUIDMATIC CVT MV (TOT)"/>
                    <xsd:enumeration value="FLUIDMATIC DCT MV (TOT)"/>
                    <xsd:enumeration value="FLUIDMATIC IID (TOT)"/>
                    <xsd:enumeration value="FLUIDMATIC IIIG (TOT)"/>
                    <xsd:enumeration value="FLUIDMATIC MV (TOT)"/>
                    <xsd:enumeration value="FLUIDMATIC MV LV (TOT)"/>
                    <xsd:enumeration value="FLUIDO DDG (TOT)"/>
                    <xsd:enumeration value="FLUIDO SERVO DIREC. (SCA)"/>
                    <xsd:enumeration value="FORMULA RACING SM 5W50 (FIN)"/>
                    <xsd:enumeration value="FORMULA S 5W40 (GUL)"/>
                    <xsd:enumeration value="FREECOR QRC"/>
                    <xsd:enumeration value="FRELUB 350 (ELF)"/>
                    <xsd:enumeration value="FRELUB 450 (ELF)"/>
                    <xsd:enumeration value="FRELUB 650 (ELF)"/>
                    <xsd:enumeration value="F-SYN ENG OIL 5W50 SN (JLR)"/>
                    <xsd:enumeration value="F-SYN ENG OIL SN 5W40 (MAZ)"/>
                    <xsd:enumeration value="F-SYN HP ENGINE OIL 5W30 (FOR)"/>
                    <xsd:enumeration value="G100 R100448604 (TOT)"/>
                    <xsd:enumeration value="G220 (TOT)"/>
                    <xsd:enumeration value="G-382 (SEA)"/>
                    <xsd:enumeration value="G-460 (SEA)"/>
                    <xsd:enumeration value="G68 R100441890 (TOT)"/>
                    <xsd:enumeration value="GALAXIE 15W50 (YAC)"/>
                    <xsd:enumeration value="GARDEN 2T (ELF)"/>
                    <xsd:enumeration value="GARDEN 2T SYN (ELF)"/>
                    <xsd:enumeration value="GARDEN 4T (ELF)"/>
                    <xsd:enumeration value="GASO AW 46 (TOT)"/>
                    <xsd:enumeration value="GASO AW 68 (TOT)"/>
                    <xsd:enumeration value="GC/0 (RTO)"/>
                    <xsd:enumeration value="GC/000 (RTO)"/>
                    <xsd:enumeration value="GEAR GREASE EP0 (NEU)"/>
                    <xsd:enumeration value="GEAR GREASE EP2 (NEU)"/>
                    <xsd:enumeration value="GEAR LUB. EXTRA 80W140 (GUL)"/>
                    <xsd:enumeration value="GEAR LUBRICANT 80W85 (GUL)"/>
                    <xsd:enumeration value="GEAR LUBRICANT 80W90 (GUL)"/>
                    <xsd:enumeration value="GEAR LUBRICANT BV 75W80 (GUL)"/>
                    <xsd:enumeration value="GEAR OIL GL-5 80W90 (FOR)"/>
                    <xsd:enumeration value="GEAR OIL GL-5 80W90 (MAZ)"/>
                    <xsd:enumeration value="GEAR OIL SAE 85W140 (WUR)"/>
                    <xsd:enumeration value="GEARBOX OIL 75W80"/>
                    <xsd:enumeration value="GEARBOX OIL 80W90 97305 (VOL)"/>
                    <xsd:enumeration value="GEARBOX OIL G055538A2 (VWG)"/>
                    <xsd:enumeration value="GEARELF 4 85W140 (ELF)"/>
                    <xsd:enumeration value="GEARELF 4 85W90 (ELF)"/>
                    <xsd:enumeration value="GEARELF 4 SAE 140 (ELF)"/>
                    <xsd:enumeration value="GEARELF 4 SAE 90 (ELF)"/>
                    <xsd:enumeration value="GEARELF 5 75W90 (ELF)"/>
                    <xsd:enumeration value="GEARELF 5 80W90 (ELF)"/>
                    <xsd:enumeration value="GEARELF 5 85W140 (ELF)"/>
                    <xsd:enumeration value="GEARELF 5 EP 140 (ELF)"/>
                    <xsd:enumeration value="GEARELF 5 EP 80W90 (ELF)"/>
                    <xsd:enumeration value="GEARELF 5 SAE 140 (ELF)"/>
                    <xsd:enumeration value="GEARELF 5 SAE 90 (ELF)"/>
                    <xsd:enumeration value="GEARS HI-PERF (TOT)"/>
                    <xsd:enumeration value="GEC 50 (TOT)"/>
                    <xsd:enumeration value="GEC 50 V (TOT)"/>
                    <xsd:enumeration value="GENECELF MULTIGR. 20W50 (TOT)"/>
                    <xsd:enumeration value="GLACELF (TOT)"/>
                    <xsd:enumeration value="GLACELF AUTO SUPRA (TOT)"/>
                    <xsd:enumeration value="GLACELF CHP SUPRA (TOT)"/>
                    <xsd:enumeration value="GLACELF CLASSIC (TOT)"/>
                    <xsd:enumeration value="GLACELF ECO BS (TOT)"/>
                    <xsd:enumeration value="GLACELF G13 (TOT)"/>
                    <xsd:enumeration value="GLACELF MDX (TOT)"/>
                    <xsd:enumeration value="GLACELF MPG SUPRA (TOT)"/>
                    <xsd:enumeration value="GLACELF PLUS (TOT)"/>
                    <xsd:enumeration value="GLACELF SI OAT (TOT)"/>
                    <xsd:enumeration value="GLACELF SUPRA (TOT)"/>
                    <xsd:enumeration value="GLACEOL RX (ELF)"/>
                    <xsd:enumeration value="GLAS UNCOLORED (TOT)"/>
                    <xsd:enumeration value="GRAFLOSCON B-SG 00 ULTRA (KLU)"/>
                    <xsd:enumeration value="GRAISSE  HP (YAC)"/>
                    <xsd:enumeration value="GRAISSE 2000 (NEU)"/>
                    <xsd:enumeration value="GRAISSE 3384 (NEU)"/>
                    <xsd:enumeration value="GRAISSE 4837 (ELF)"/>
                    <xsd:enumeration value="GRAISSE EP 2 (ELA)"/>
                    <xsd:enumeration value="GRAISSE F 9702 (TOT)"/>
                    <xsd:enumeration value="GRAISSE G2 (NEU)"/>
                    <xsd:enumeration value="GRAISSE GAPL 2416 (YAC)"/>
                    <xsd:enumeration value="GRAISSE GG 20 (NEU)"/>
                    <xsd:enumeration value="GRAISSE HGA 60/JR-EP-10 (NEU)"/>
                    <xsd:enumeration value="GRAISSE HTX 420 (ELF)"/>
                    <xsd:enumeration value="GRAISSE JEP 0 (XLC10AA) (NEU)"/>
                    <xsd:enumeration value="GRAISSE JEP BM 2 (NEU)"/>
                    <xsd:enumeration value="GRAISSE JET (NEU)"/>
                    <xsd:enumeration value="GRAISSE MARINE (YAC)"/>
                    <xsd:enumeration value="GRAISSE MOYEUX (YAC)"/>
                    <xsd:enumeration value="GRAISSE MULTI FONCTION NLGI 2 (TOT)"/>
                    <xsd:enumeration value="GRAISSE MULTIP EP 0 (YAC)"/>
                    <xsd:enumeration value="GRAISSE MULTIP EP 2 (YAC)"/>
                    <xsd:enumeration value="GRAISSE N 1192 (NEU)"/>
                    <xsd:enumeration value="GRAISSE N 2021 (NEU)"/>
                    <xsd:enumeration value="GRAISSE N 2192 (NEU)"/>
                    <xsd:enumeration value="GRAISSE N 2370 (NEU)"/>
                    <xsd:enumeration value="GRAISSE N 2416 (NEU)"/>
                    <xsd:enumeration value="GRAISSE N 2611 ALLONGE (NEU)"/>
                    <xsd:enumeration value="GRAISSE N 2868 (NEU)"/>
                    <xsd:enumeration value="GRAISSE N 2876 (NEU)"/>
                    <xsd:enumeration value="GRAISSE N 2878 (XLC02AD) (NEU)"/>
                    <xsd:enumeration value="GRAISSE N 2914 (NEU)"/>
                    <xsd:enumeration value="GRAISSE N 30645 (TOT)"/>
                    <xsd:enumeration value="GRAISSE N 30730 (TOT)"/>
                    <xsd:enumeration value="GRAISSE N 30850 (TOT)"/>
                    <xsd:enumeration value="GRAISSE N 3106 JT1 (NEU)"/>
                    <xsd:enumeration value="GRAISSE N 31272 (TOT)"/>
                    <xsd:enumeration value="GRAISSE N 31336 (TOT)"/>
                    <xsd:enumeration value="GRAISSE N 3142 (NEU)"/>
                    <xsd:enumeration value="GRAISSE N 31705 (TOT)"/>
                    <xsd:enumeration value="GRAISSE N 3278 (NEU)"/>
                    <xsd:enumeration value="GRAISSE N 3373 (TOT)"/>
                    <xsd:enumeration value="GRAISSE N 3524 (TOT)"/>
                    <xsd:enumeration value="GRAISSE N 3924 (TOT)"/>
                    <xsd:enumeration value="GRAISSE N 3942 (TOT)"/>
                    <xsd:enumeration value="GRAISSE N 4128 (TOT)"/>
                    <xsd:enumeration value="GRAISSE N 4438 (TOT)"/>
                    <xsd:enumeration value="GRAISSE N 4487 (TOT)"/>
                    <xsd:enumeration value="GRAISSE N31625 (TOT)"/>
                    <xsd:enumeration value="GRAISSE N31653 (TOT)"/>
                    <xsd:enumeration value="GRAISSE N31669 (TOT)"/>
                    <xsd:enumeration value="GRAISSE RLT LC (ELF)"/>
                    <xsd:enumeration value="GRAISSE S 509 (TOT)"/>
                    <xsd:enumeration value="GRAISSE SELLETTE (YAC)"/>
                    <xsd:enumeration value="GRAISSE SPECIALE 420 (ELF)"/>
                    <xsd:enumeration value="GRANITCUT 5000 (TOT)"/>
                    <xsd:enumeration value="GRAPHIT GREASE N°7 (NEU)"/>
                    <xsd:enumeration value="GRAPHOLIA 15W40 (ELF)"/>
                    <xsd:enumeration value="GRAPHOLIA 15W40 (TOT)"/>
                    <xsd:enumeration value="GRAPHOLIA MS 15W40 (ELF)"/>
                    <xsd:enumeration value="GRASA LGMT 2M (SKF)"/>
                    <xsd:enumeration value="GRASA LGWA 2M (SKF)"/>
                    <xsd:enumeration value="GRASA PARA GASOMETRO 230 (TOT)"/>
                    <xsd:enumeration value="GRASA PARA GASOMETRO 270 (TOT)"/>
                    <xsd:enumeration value="GRASA VKG 1L (SKF)"/>
                    <xsd:enumeration value="GREASE EP 2 (HIT)"/>
                    <xsd:enumeration value="GREASE TBT 2 (NEU)"/>
                    <xsd:enumeration value="GULFCROWN EP GREASE 2 (GUL)"/>
                    <xsd:enumeration value="GULFCROWN GREASE N2 (GUL)"/>
                    <xsd:enumeration value="GULFCROWN WR2 (GUL)"/>
                    <xsd:enumeration value="GULFCROWN ZS 00/000 (GUL)"/>
                    <xsd:enumeration value="GULFL.HIGHWAY BLUE 10W30 (GUL)"/>
                    <xsd:enumeration value="GULFL.HIGHWAY BLUE 10W40 (GUL)"/>
                    <xsd:enumeration value="GULFLEET HIGHWAY 10W40 (GUL)"/>
                    <xsd:enumeration value="GULFLEET LDS 15W40 (GUL)"/>
                    <xsd:enumeration value="GULFLEET LONG ROAD 15W40 (GUL)"/>
                    <xsd:enumeration value="GULFLEET SUPER TRAILER 30 (GUL)"/>
                    <xsd:enumeration value="GULFLEET SUPREME 5W30 (GUL)"/>
                    <xsd:enumeration value="GULFLEX MOLY N 2 (GUL)"/>
                    <xsd:enumeration value="GULFPRIDE 2 STROKE (GUL)"/>
                    <xsd:enumeration value="H-1/79095 (NEU)"/>
                    <xsd:enumeration value="H-542 (SEA)"/>
                    <xsd:enumeration value="H-548 (SEA)"/>
                    <xsd:enumeration value="H-548 (TOT)"/>
                    <xsd:enumeration value="H-573 (SEA)"/>
                    <xsd:enumeration value="HARMONY AW 32 (GUL)"/>
                    <xsd:enumeration value="HARMONY AW 46 (GUL)"/>
                    <xsd:enumeration value="HARMONY AW 68 (GUL)"/>
                    <xsd:enumeration value="HARMONY HV 46 (GUL)"/>
                    <xsd:enumeration value="HARMONY HV 68 (GUL)"/>
                    <xsd:enumeration value="HB COOLING (RTO)"/>
                    <xsd:enumeration value="HBF 3 (TOT)"/>
                    <xsd:enumeration value="HBF 4 (TOT)"/>
                    <xsd:enumeration value="HBF 4 OEM+ (TOT)"/>
                    <xsd:enumeration value="HBF 5.1 (TOT)"/>
                    <xsd:enumeration value="HD 80W90 (RTO)"/>
                    <xsd:enumeration value="HD 85W140 (RTO)"/>
                    <xsd:enumeration value="HD DEGREASER (SOS)"/>
                    <xsd:enumeration value="HFS 5W40 (HON)"/>
                    <xsd:enumeration value="HFS-E 5W30 (HON)"/>
                    <xsd:enumeration value="HI FL PO TRANSFORMER OIL (TOT)"/>
                    <xsd:enumeration value="HI-PERF 2T RACING (TOT)"/>
                    <xsd:enumeration value="HI-PERF 2T SCOOTER (TOT)"/>
                    <xsd:enumeration value="HI-PERF 2T SPECIAL (TOT)"/>
                    <xsd:enumeration value="HI-PERF 2T SPORT (TOT)"/>
                    <xsd:enumeration value="HI-PERF 4T MCO 10W30 (TOT)"/>
                    <xsd:enumeration value="HI-PERF 4T MCO 15W40 (TOT)"/>
                    <xsd:enumeration value="HI-PERF 4T MCO 20W40 (TOT)"/>
                    <xsd:enumeration value="HI-PERF 4T MCO 20W50 (TOT)"/>
                    <xsd:enumeration value="HI-PERF 4T MCO SAE 40 (TOT)"/>
                    <xsd:enumeration value="HI-PERF 4T RACING 10W50 (TOT)"/>
                    <xsd:enumeration value="HI-PERF 4T SCOOT.10W40 M (TOT)"/>
                    <xsd:enumeration value="HI-PERF 4T SCOOTER 10W30 (TOT)"/>
                    <xsd:enumeration value="HI-PERF 4T SCOOTER 10W40 (TOT)"/>
                    <xsd:enumeration value="HI-PERF 4T SCOOTER 20W40 (TOT)"/>
                    <xsd:enumeration value="HI-PERF 4T SCOOTER 5W40 (TOT)"/>
                    <xsd:enumeration value="HI-PERF 4T SP.20W50 (SL) (TOT)"/>
                    <xsd:enumeration value="HI-PERF 4T SPECIAL 10W40 (TOT)"/>
                    <xsd:enumeration value="HI-PERF 4T SPECIAL 15W40 (TOT)"/>
                    <xsd:enumeration value="HI-PERF 4T SPECIAL 20W40 (TOT)"/>
                    <xsd:enumeration value="HI-PERF 4T SPECIAL 20W50 (TOT)"/>
                    <xsd:enumeration value="HI-PERF 4T SPORT 10W40 (TOT)"/>
                    <xsd:enumeration value="HI-PERF 4T SPORT+ 10W40 (TOT)"/>
                    <xsd:enumeration value="HI-PERF 4T SUPER + 20W50 (TOT)"/>
                    <xsd:enumeration value="HI-PERF 4T SUPER 10W30 (TOT)"/>
                    <xsd:enumeration value="HI-PERF 4T SUPER 10W40 (TOT)"/>
                    <xsd:enumeration value="HI-PERF 4T SUPER 15W40 (TOT)"/>
                    <xsd:enumeration value="HI-PERF 4T SUPER 20W40 (TOT)"/>
                    <xsd:enumeration value="HI-PERF 4T SUPER 20W50 (TOT)"/>
                    <xsd:enumeration value="HI-PERF 4T SUPER 5W30 (TOT)"/>
                    <xsd:enumeration value="HI-PERF GEAR OIL 80W90 (TOT)"/>
                    <xsd:enumeration value="HI-PERF GEAR OIL 85W140 (TOT)"/>
                    <xsd:enumeration value="HITACHI SUPER EX 46 HN (IDE)"/>
                    <xsd:enumeration value="HM 46 (TOT)"/>
                    <xsd:enumeration value="HM100 R100448595 (TOT)"/>
                    <xsd:enumeration value="HM46 R100448593 (TOT)"/>
                    <xsd:enumeration value="HM68 R100448608 (TOT)"/>
                    <xsd:enumeration value="HONDA 06 MTF (IDE)"/>
                    <xsd:enumeration value="HONDA 06FEO 0W20 (IDE)"/>
                    <xsd:enumeration value="HONDA 13 CVT-F (IDE)"/>
                    <xsd:enumeration value="HONDA 4T 15W30 (HON)"/>
                    <xsd:enumeration value="HS 10W40 (HON)"/>
                    <xsd:enumeration value="HT 46 (RTO)"/>
                    <xsd:enumeration value="HT GREASE 2 (NEU)"/>
                    <xsd:enumeration value="HTX 115 (ELF)"/>
                    <xsd:enumeration value="HTX 320 (ELF)"/>
                    <xsd:enumeration value="HTX 3818 (ELF)"/>
                    <xsd:enumeration value="HTX 3820 (ELF)"/>
                    <xsd:enumeration value="HTX 3821 (ELF)"/>
                    <xsd:enumeration value="HTX 3823 (ELF)"/>
                    <xsd:enumeration value="HTX 3830 (ELF)"/>
                    <xsd:enumeration value="HTX 3835 (ELF)"/>
                    <xsd:enumeration value="HTX 725 (ELF)"/>
                    <xsd:enumeration value="HTX 735 (ELF)"/>
                    <xsd:enumeration value="HTX 740 (ELF)"/>
                    <xsd:enumeration value="HTX 755 (ELF)"/>
                    <xsd:enumeration value="HTX 805 (ELF)"/>
                    <xsd:enumeration value="HTX 825 (ELF)"/>
                    <xsd:enumeration value="HTX 830 (ELF)"/>
                    <xsd:enumeration value="HTX 835 (ELF)"/>
                    <xsd:enumeration value="HTX 840 (ELF)"/>
                    <xsd:enumeration value="HTX 850 (ELF)"/>
                    <xsd:enumeration value="HTX 860 (ELF)"/>
                    <xsd:enumeration value="HTX 909 (ELF)"/>
                    <xsd:enumeration value="HTX 976+ (ELF)"/>
                    <xsd:enumeration value="HTX CHRONO 10W60 (ELF)"/>
                    <xsd:enumeration value="HTX COLLECTION 20W50 (ELF)"/>
                    <xsd:enumeration value="HTX COOLANT CI (TOT)"/>
                    <xsd:enumeration value="HTX PRESTIGE 20W50 (ELF)"/>
                    <xsd:enumeration value="HTX PRESTIGE SAE 40 (ELF)"/>
                    <xsd:enumeration value="HTX RETRO 1 (ELF)"/>
                    <xsd:enumeration value="HTX RETRO 2 (ELF)"/>
                    <xsd:enumeration value="HUILE 2 TEMPS SEMI SYNT (CAR)"/>
                    <xsd:enumeration value="HUILE 4T MOTO 10W40 (CAR)"/>
                    <xsd:enumeration value="HUILE 4T MOTOCULTU 15W40 (CAR)"/>
                    <xsd:enumeration value="HUILE BOITE AUTOMATIQUE (CAR)"/>
                    <xsd:enumeration value="HUILE BOITE ET PONT 75W80 (CAR)"/>
                    <xsd:enumeration value="HUILE BOITE ET PONT 75W90 (CAR)"/>
                    <xsd:enumeration value="HUILE FILANT CHAIN TRONCONNEUSE (CAR)"/>
                    <xsd:enumeration value="HUILE THERMIQUE (TOT)"/>
                    <xsd:enumeration value="HX 1000 2T (YAC)"/>
                    <xsd:enumeration value="HYBRID DIESEL ENGINE OIL (VOL)"/>
                    <xsd:enumeration value="HYDR FL POCLAIN PPT (YAC)"/>
                    <xsd:enumeration value="HYDRAGRI 32 (TOT)"/>
                    <xsd:enumeration value="HYDRAGRI 46 (TOT)"/>
                    <xsd:enumeration value="HYDRAGRI 68 (TOT)"/>
                    <xsd:enumeration value="HYDRAN LD 46 (TOT)"/>
                    <xsd:enumeration value="HYDRAN TSX 32 (FIN)"/>
                    <xsd:enumeration value="HYDRAN TSX 46 (FIN)"/>
                    <xsd:enumeration value="HYDRANSAFE FR NSG 38 (TOT)"/>
                    <xsd:enumeration value="HYDRANSAFE FRS 32 (TOT)"/>
                    <xsd:enumeration value="HYDRANSAFE FRS 46 (TOT)"/>
                    <xsd:enumeration value="HYDRANSAFE HFA E3 (TOT)"/>
                    <xsd:enumeration value="HYDRANSAFE HFA S5 (TOT)"/>
                    <xsd:enumeration value="HYDRANSAFE HFC 146 (TOT)"/>
                    <xsd:enumeration value="HYDRANSAFE HFDU 46 (TOT)"/>
                    <xsd:enumeration value="HYDRANSAFE HFDU 68 (TOT)"/>
                    <xsd:enumeration value="HYDRANSAFE HFDU LC 168 (TOT)"/>
                    <xsd:enumeration value="HYDRAULIC 32 (ELA)"/>
                    <xsd:enumeration value="HYDRAULIC 46 (ELA)"/>
                    <xsd:enumeration value="HYDRAULIC 68 (ELA)"/>
                    <xsd:enumeration value="HYDRAULIC OIL 5000 (HIT)"/>
                    <xsd:enumeration value="HYDRAULIC OIL MULTI (HIT)"/>
                    <xsd:enumeration value="HYDRAULIC P (ELA)"/>
                    <xsd:enumeration value="HYDRAULIQUE 1600 (TOT)"/>
                    <xsd:enumeration value="HYDRAULIQUE HP 46 (ELF)"/>
                    <xsd:enumeration value="HYDRAUNYCOIL FH 42 (NYC)"/>
                    <xsd:enumeration value="HYDRAUNYCOIL FH 5 AW (NYC)"/>
                    <xsd:enumeration value="HYDRAUNYCOIL FH 51 (NYC)"/>
                    <xsd:enumeration value="HYDRAUNYCOIL FH 6 (NYC)"/>
                    <xsd:enumeration value="HYDRAUNYCOIL FH 6 AW (NYC)"/>
                    <xsd:enumeration value="HYDRAURINCAGE (TOT)"/>
                    <xsd:enumeration value="HYDROFLO CT (FIN)"/>
                    <xsd:enumeration value="HYDROFLO CT (TOT)"/>
                    <xsd:enumeration value="HYDROGRADE 1 (ELF)"/>
                    <xsd:enumeration value="INTARDER GEAR OIL 75W80 (GUL)"/>
                    <xsd:enumeration value="IRONCAST SY 50 (TOT)"/>
                    <xsd:enumeration value="ISOLEC KL 2-3 (TOT)"/>
                    <xsd:enumeration value="ISOVOLTINE BIO (TOT)"/>
                    <xsd:enumeration value="ISOVOLTINE BIO VE (TOT)"/>
                    <xsd:enumeration value="ISOVOLTINE II (TOT)"/>
                    <xsd:enumeration value="ISOVOLTINE II ATP (TOT)"/>
                    <xsd:enumeration value="ISOVOLTINE II T (TOT)"/>
                    <xsd:enumeration value="ISOVOLTINE II TP (TOT)"/>
                    <xsd:enumeration value="ISOVOLTINE II TX (TOT)"/>
                    <xsd:enumeration value="ISOVOLTINE II X (TOT)"/>
                    <xsd:enumeration value="ISOVOLTINE P1 (TOT)"/>
                    <xsd:enumeration value="ISOVOLTINE P2 (TOT)"/>
                    <xsd:enumeration value="JARYTHERM BT 06 (TOT)"/>
                    <xsd:enumeration value="JARYTHERM DBT (TOT)"/>
                    <xsd:enumeration value="JET BLACK (NEU)"/>
                    <xsd:enumeration value="JET MARINE 2571 MODIFIED (NEU)"/>
                    <xsd:enumeration value="JET MARINE ROUGE (TOT)"/>
                    <xsd:enumeration value="JET MARINE VERTE (NEU)"/>
                    <xsd:enumeration value="JET TEMP (IMP)"/>
                    <xsd:enumeration value="JET TEMP GRADE 1 (NEU)"/>
                    <xsd:enumeration value="JHT 300 EP/2 (IMP)"/>
                    <xsd:enumeration value="KALDEX EP3 S (NEU)"/>
                    <xsd:enumeration value="KALO 32 (RTO)"/>
                    <xsd:enumeration value="KALOR  ALTHEA (NEU)"/>
                    <xsd:enumeration value="KALOR FG 2 (NEU)"/>
                    <xsd:enumeration value="KALOR FG S2 (NEU)"/>
                    <xsd:enumeration value="KAON C3 5W30 (KAN)"/>
                    <xsd:enumeration value="KAPPA EXTRA PLUS 15W40 (FIN)"/>
                    <xsd:enumeration value="KAPPA OPTIMA 15W40 (FIN)"/>
                    <xsd:enumeration value="KAPPA SYN FE 5W30 (FIN)"/>
                    <xsd:enumeration value="KAPPA TDE MULTI HR 15W40 (FIN)"/>
                    <xsd:enumeration value="KAPPA TRAFIC 10W40 (FIN)"/>
                    <xsd:enumeration value="KAPPA TURBO DI 15W40 (FIN)"/>
                    <xsd:enumeration value="KAPPA TURBO DI 20W50 (FIN)"/>
                    <xsd:enumeration value="KAPPA ULTRA 10W40 (FIN)"/>
                    <xsd:enumeration value="KAPPA ULTRA LS 10W40 (FIN)"/>
                    <xsd:enumeration value="KASSILLA GMP 1000 (TOT)"/>
                    <xsd:enumeration value="KASSILLA GMP 150 (TOT)"/>
                    <xsd:enumeration value="KASSILLA GMP 220 (TOT)"/>
                    <xsd:enumeration value="KASSILLA GMP 320 (TOT)"/>
                    <xsd:enumeration value="KASSILLA GMP 460 (TOT)"/>
                    <xsd:enumeration value="KASSILLA GMP 680 (TOT)"/>
                    <xsd:enumeration value="KN-60 (NEU)"/>
                    <xsd:enumeration value="KT 141 (NEU)"/>
                    <xsd:enumeration value="LACTUCA DDC 5000 (TOT)"/>
                    <xsd:enumeration value="LACTUCA LT 3000 (TOT)"/>
                    <xsd:enumeration value="LACTUCA MS 7000 (TOT)"/>
                    <xsd:enumeration value="LACTUCA MSF 5200 (TOT)"/>
                    <xsd:enumeration value="LACTUCA WBA 5400 (TOT)"/>
                    <xsd:enumeration value="LACTUCA WBF 9400 (TOT)"/>
                    <xsd:enumeration value="LANDIA 253 (NEU)"/>
                    <xsd:enumeration value="LANDIA 253 BT (IMP)"/>
                    <xsd:enumeration value="LC 2002 (NEU)"/>
                    <xsd:enumeration value="LC 3002 (NEU)"/>
                    <xsd:enumeration value="LC 3002 BLEUE (NEU)"/>
                    <xsd:enumeration value="LC 3002 HV (NEU)"/>
                    <xsd:enumeration value="LC 3002 MO (NEU)"/>
                    <xsd:enumeration value="LC 3002 RED_E (NEU)"/>
                    <xsd:enumeration value="LC 3002 ROUGE (NEU)"/>
                    <xsd:enumeration value="LC 3002 VERTE (NEU)"/>
                    <xsd:enumeration value="LC 3003 BLEUE (NEU)"/>
                    <xsd:enumeration value="LDF ENGINE OIL 15W40 (SCA)"/>
                    <xsd:enumeration value="LDF3 ENGINE OIL 10W40 (SCA)"/>
                    <xsd:enumeration value="LESANA SC 110"/>
                    <xsd:enumeration value="LESANA SC 120"/>
                    <xsd:enumeration value="LESANA SC 200 (TOT)"/>
                    <xsd:enumeration value="LESANA SC 300 (TOT)"/>
                    <xsd:enumeration value="LESANA SC 400 (TOT)"/>
                    <xsd:enumeration value="LESANA SC 500 (TOT)"/>
                    <xsd:enumeration value="LESANA SC 600 (TOT)"/>
                    <xsd:enumeration value="LESANA SC 700 (TOT)"/>
                    <xsd:enumeration value="LESANA SC 800 (TOT)"/>
                    <xsd:enumeration value="LESANA SC 900 (TOT)"/>
                    <xsd:enumeration value="LHM (ELF)"/>
                    <xsd:enumeration value="LHM PLUS (CIT)"/>
                    <xsd:enumeration value="LHM PLUS (TOT)"/>
                    <xsd:enumeration value="LICAGREASE EP 00 (TOT)"/>
                    <xsd:enumeration value="LICAGREASE EP 2 (TOT)"/>
                    <xsd:enumeration value="LICAGREASE XHV 2 (TOT)"/>
                    <xsd:enumeration value="LICAL EP 1,5 (TOT)"/>
                    <xsd:enumeration value="LICAL EP 2 (TOT)"/>
                    <xsd:enumeration value="LICAL MS 2 (TOT)"/>
                    <xsd:enumeration value="LIPRO 128 MO (NEU)"/>
                    <xsd:enumeration value="LIPRO 2 (NEU)"/>
                    <xsd:enumeration value="LIPRO EP 0 (NEU)"/>
                    <xsd:enumeration value="LIPRO EP 00 (NEU)"/>
                    <xsd:enumeration value="LIPRO EP 000 (NEU)"/>
                    <xsd:enumeration value="LIPRO EP 1 (NEU)"/>
                    <xsd:enumeration value="LIPRO EP 2 (NEU)"/>
                    <xsd:enumeration value="LIPRO EP 3 (NEU)"/>
                    <xsd:enumeration value="LIPRO MO 2 (NEU)"/>
                    <xsd:enumeration value="LIPROFIL EP 2 BLEUE (NEU)"/>
                    <xsd:enumeration value="LIPROFIL EP 2 VERTE (IMP)"/>
                    <xsd:enumeration value="LIQUIDE HYDR MINERAL CLE (YAC)"/>
                    <xsd:enumeration value="LIQUIDE HYDRAULIQ.MINERA (YAC)"/>
                    <xsd:enumeration value="LIQUIDO DE FRENOS DOT 3 (TOY)"/>
                    <xsd:enumeration value="LISSOLFIX APZ 2030 (TXL)"/>
                    <xsd:enumeration value="LISSOLFIX APZ 2050 (PTN)"/>
                    <xsd:enumeration value="LISSOLFIX APZ 2061 (TXL)"/>
                    <xsd:enumeration value="LISSOLFIX APZ 2080 (TXL)"/>
                    <xsd:enumeration value="LISSOLFIX APZ 2082 (PTN)"/>
                    <xsd:enumeration value="LISSOLFIX APZ 2090 (TXL)"/>
                    <xsd:enumeration value="LISSOLFIX APZ 2092 (PTN)"/>
                    <xsd:enumeration value="LISSOLFIX APZ 2095 (PTN)"/>
                    <xsd:enumeration value="LISSOLFIX APZ 222 (TXL)"/>
                    <xsd:enumeration value="LISSOLFIX APZ 2270 (TXL)"/>
                    <xsd:enumeration value="LISSOLFIX APZ 2290 (PTN)"/>
                    <xsd:enumeration value="LISSOLFIX APZ 2294 (TXL)"/>
                    <xsd:enumeration value="LISSOLFIX APZ 2395 (PTN)"/>
                    <xsd:enumeration value="LISSOLFIX APZ 2495 (PTN)"/>
                    <xsd:enumeration value="LISSOLFIX APZ 2700 (TXL)"/>
                    <xsd:enumeration value="LISSOLFIX APZ 2800 (TXL)"/>
                    <xsd:enumeration value="LISSOLFIX APZ A 299 (TXL)"/>
                    <xsd:enumeration value="LISSOLFIX APZ RI 2010 (TXL)"/>
                    <xsd:enumeration value="LISSOLFIX APZX 1350 (TXL)"/>
                    <xsd:enumeration value="LISSOLFIX APZX 1500 (TXL)"/>
                    <xsd:enumeration value="LISSOLFIX APZX 2350 (TXL)"/>
                    <xsd:enumeration value="LISSOLFIX APZX 255 (TXL)"/>
                    <xsd:enumeration value="LISSOLFIX APZX 4800 (TXL)"/>
                    <xsd:enumeration value="LISSOLFIX APZX A 57809 (TXL)"/>
                    <xsd:enumeration value="LISSOLFIX B 5170 APZ (TXL)"/>
                    <xsd:enumeration value="LISSOLFIX B 570 Z (TXL)"/>
                    <xsd:enumeration value="LISSOLFIX B 5830 Z (PTN)"/>
                    <xsd:enumeration value="LISSOLFIX B 78 APZX (TXL)"/>
                    <xsd:enumeration value="LISSOLFIX B A 5179 APZ (TXL)"/>
                    <xsd:enumeration value="LISSOLFIX PLA 2000 APZ (PTN)"/>
                    <xsd:enumeration value="LISSOLFIX TB A 6609 Z (PTN)"/>
                    <xsd:enumeration value="LISSOLFIX TH 256 APZ (TXL)"/>
                    <xsd:enumeration value="LITHIUM MP NLGI 2 (NEU)"/>
                    <xsd:enumeration value="LL COOLANT L255N UD30 (NIS)"/>
                    <xsd:enumeration value="LL COOLANT L255N UD50 (NIS)"/>
                    <xsd:enumeration value="LLAW HYDRAULIC OIL ZS 46 (SAY)"/>
                    <xsd:enumeration value="LLAW HYDRAULIC OIL ZS 68 (SAY)"/>
                    <xsd:enumeration value="LLX 5W30 (RTO)"/>
                    <xsd:enumeration value="LONG LIFE A5 5W30 (TOT)"/>
                    <xsd:enumeration value="LONG LIFE COOLANT -37°C (HIT)"/>
                    <xsd:enumeration value="LONGEVIA BMB 75W90 (RTO)"/>
                    <xsd:enumeration value="LONGEVIA BV HD 75W90 (RTO)"/>
                    <xsd:enumeration value="LONGEVIA BXI ECO 75W80 (RTO)"/>
                    <xsd:enumeration value="LONGEVIA BZV ECO 75W80 (RTO)"/>
                    <xsd:enumeration value="LONGEVIA ECO 75W80 (RTO)"/>
                    <xsd:enumeration value="LONGEVIA P ECO 80W140 (RTO)"/>
                    <xsd:enumeration value="LONGEVIA P ECO 80W90 (RTO)"/>
                    <xsd:enumeration value="LONGEVIA PM ECO 80W110 (RTO)"/>
                    <xsd:enumeration value="LONGEVIA TC ECO 80W90 (RTO)"/>
                    <xsd:enumeration value="LONGEVIA TCX ECO 75W90 (RTO)"/>
                    <xsd:enumeration value="LONGLIFE COOLANT L255N (NIS)"/>
                    <xsd:enumeration value="LONGLIFECOOLANT L248 (NIS)"/>
                    <xsd:enumeration value="LOW ASH ENGINE OIL 10W40 (SCA)"/>
                    <xsd:enumeration value="LPS OIL (GUL)"/>
                    <xsd:enumeration value="LS REAR AXLE OIL 80W90 (GUL)"/>
                    <xsd:enumeration value="LUB MA4 FE 5W30 (TOT)"/>
                    <xsd:enumeration value="LUB MA5 0W20 G09/0008 (TOT)"/>
                    <xsd:enumeration value="LUB MA6 0W30 G10/0246 (TOT)"/>
                    <xsd:enumeration value="LUBRILAM C 10"/>
                    <xsd:enumeration value="LUBRILAM C 3 (TOT)"/>
                    <xsd:enumeration value="LUBRILAM C 6 (TOT)"/>
                    <xsd:enumeration value="LUBRILAM CLEANER (TOT)"/>
                    <xsd:enumeration value="LUBRILAM CLEANER H1 (TOT)"/>
                    <xsd:enumeration value="LUBRILAM S 20L (TOT)"/>
                    <xsd:enumeration value="LUBRILAM S 30 L"/>
                    <xsd:enumeration value="LUBRILAM S 31 L (TOT)"/>
                    <xsd:enumeration value="LUBRILAM S 60 L (TOT)"/>
                    <xsd:enumeration value="LUBRILAM S 61 L (TOT)"/>
                    <xsd:enumeration value="LUBRILAM S23L (TOT)"/>
                    <xsd:enumeration value="LUBRILAM S40L (TOT)"/>
                    <xsd:enumeration value="LUBRILAM S50L"/>
                    <xsd:enumeration value="LUBRILAM S55L (TOT)"/>
                    <xsd:enumeration value="LUNARIA 32 (TOT)"/>
                    <xsd:enumeration value="LUNARIA 46 (TOT)"/>
                    <xsd:enumeration value="LUNARIA EFL 100 (TOT)"/>
                    <xsd:enumeration value="LUNARIA EFL 46 (TOT)"/>
                    <xsd:enumeration value="LUNARIA EFL 68 (TOT)"/>
                    <xsd:enumeration value="LUNARIA FR 100 (TOT)"/>
                    <xsd:enumeration value="LUNARIA FR 32 (TOT)"/>
                    <xsd:enumeration value="LUNARIA FR 46 (TOT)"/>
                    <xsd:enumeration value="LUNARIA FR 68 (TOT)"/>
                    <xsd:enumeration value="LUNARIA K 32 (TOT)"/>
                    <xsd:enumeration value="LUNARIA K 46 (TOT)"/>
                    <xsd:enumeration value="LUNARIA K 68 (TOT)"/>
                    <xsd:enumeration value="LUNARIA NH 150 EP (TOT)"/>
                    <xsd:enumeration value="LUNARIA NH 46 (TOT)"/>
                    <xsd:enumeration value="LUNARIA NH 68 (TOT)"/>
                    <xsd:enumeration value="LUNARIA SH  68 (TOT)"/>
                    <xsd:enumeration value="LUNARIA SH 46 (TOT)"/>
                    <xsd:enumeration value="LUNARIA SK 100 (TOT)"/>
                    <xsd:enumeration value="LUNARIA SK 150 (TOT)"/>
                    <xsd:enumeration value="LUNARIA SK 55 (TOT)"/>
                    <xsd:enumeration value="LYRAN C 50 B (TOT)"/>
                    <xsd:enumeration value="LYRAN C 80 B (TOT)"/>
                    <xsd:enumeration value="M MAR 15 SAE 30 (YAC)"/>
                    <xsd:enumeration value="M200 20W50 (SYM)"/>
                    <xsd:enumeration value="M300 15W40 (SYM)"/>
                    <xsd:enumeration value="MARSON EPL2A-FINAGRI TP (FIN)"/>
                    <xsd:enumeration value="MARSON SY 00 (TOT)"/>
                    <xsd:enumeration value="MARSON SY 2 (TOT)"/>
                    <xsd:enumeration value="MARSON WR2 (TOT)"/>
                    <xsd:enumeration value="MARTOL 20 CF (TOT)"/>
                    <xsd:enumeration value="MARTOL AL 150 (TOT)"/>
                    <xsd:enumeration value="MARTOL AL 60 (TOT)"/>
                    <xsd:enumeration value="MARTOL EP 100 CF (TOT)"/>
                    <xsd:enumeration value="MARTOL EP 180 (TOT)"/>
                    <xsd:enumeration value="MARTOL EP 185 (TOT)"/>
                    <xsd:enumeration value="MARTOL EP 235 CF (TOT)"/>
                    <xsd:enumeration value="MARTOL EP 405 CF (TOT)"/>
                    <xsd:enumeration value="MARTOL EP 5 CF (TOT)"/>
                    <xsd:enumeration value="MARTOL EP 65 CF (TOT)"/>
                    <xsd:enumeration value="MARTOL EP 79 (TOT)"/>
                    <xsd:enumeration value="MARTOL EP 85 (TOT)"/>
                    <xsd:enumeration value="MARTOL EV 10 AQ (TOT)"/>
                    <xsd:enumeration value="MARTOL EV 10 CF (TOT)"/>
                    <xsd:enumeration value="MARTOL EV 20 CF (TOT)"/>
                    <xsd:enumeration value="MARTOL EV 40 CF (TOT)"/>
                    <xsd:enumeration value="MARTOL EV 45 (TOT)"/>
                    <xsd:enumeration value="MARTOL FMO 15 CF (TOT)"/>
                    <xsd:enumeration value="MARTOL FMO 235 CF (TOT)"/>
                    <xsd:enumeration value="MARTOL FMO 3 CF (TOT)"/>
                    <xsd:enumeration value="MARTOL FMO 75 CF (TOT)"/>
                    <xsd:enumeration value="MARTOL LVG 15 CF (TOT)"/>
                    <xsd:enumeration value="MARTOL LVG 20 CF (TOT)"/>
                    <xsd:enumeration value="MARTOL LVG 25 AQ (TOT)"/>
                    <xsd:enumeration value="MARTOL LVG 25 CF (TOT)"/>
                    <xsd:enumeration value="MARTOL LVG 30 AQ (TOT)"/>
                    <xsd:enumeration value="MARTOL SB 40 (TOT)"/>
                    <xsd:enumeration value="MARTOL SOLUBLE ST (TOT)"/>
                    <xsd:enumeration value="MARTOL SPIROLL SE 100 (TOT)"/>
                    <xsd:enumeration value="MARTOL SPIROLL SE 68 (TOT)"/>
                    <xsd:enumeration value="MARTOL VB 150 (TOT)"/>
                    <xsd:enumeration value="MARTOL VB 68 (TOT)"/>
                    <xsd:enumeration value="MATIC G3 (ELA)"/>
                    <xsd:enumeration value="MAXEON ME6 ECO 10W30 (RTO)"/>
                    <xsd:enumeration value="MAXEON XE6 ECO 5W30 (RTO)"/>
                    <xsd:enumeration value="MAXIGEL PLUS (RTO)"/>
                    <xsd:enumeration value="MAXIMA ADM 15W40 (RTO)"/>
                    <xsd:enumeration value="MAXIMA CRX ECO 10W30 (RTO)"/>
                    <xsd:enumeration value="MAXIMA GAZ 5 (RTO)"/>
                    <xsd:enumeration value="MAXIMA GAZ 9 (RTO)"/>
                    <xsd:enumeration value="MAXIMA HYBRID 15W50 (RTO)"/>
                    <xsd:enumeration value="MAXIMA RLD 15W40 (RTO)"/>
                    <xsd:enumeration value="MAXIMA RLD ECO 15W30 (RTO)"/>
                    <xsd:enumeration value="MAXIMA RLD ECO FF 15W30 (RTO)"/>
                    <xsd:enumeration value="MAXIMUM (GUL)"/>
                    <xsd:enumeration value="MAXTERIA 10W40 (RTO)"/>
                    <xsd:enumeration value="MAXTERIA 5W40 (RTO)"/>
                    <xsd:enumeration value="MAXTERIA CA ECO 5W30 (RTO)"/>
                    <xsd:enumeration value="MAXTERIA FP ECO 5W30 (RTO)"/>
                    <xsd:enumeration value="MAXTERIA TC ECO 5W30 (RTO)"/>
                    <xsd:enumeration value="MERKAN 23 (TOT)"/>
                    <xsd:enumeration value="MERKAN N 4128 AER (TOT)"/>
                    <xsd:enumeration value="METELIA L 22 (TOT)"/>
                    <xsd:enumeration value="MGLL HYDRAULIC OIL HV 46 (SAY)"/>
                    <xsd:enumeration value="MGLL HYDRAULIC OIL HV 68 (SAY)"/>
                    <xsd:enumeration value="MIDAS 10W40 (MID)"/>
                    <xsd:enumeration value="MIDAS 15W40 (MID)"/>
                    <xsd:enumeration value="MIDAS 5W30 C1 (MID)"/>
                    <xsd:enumeration value="MIDAS 5W30 C2 (MID)"/>
                    <xsd:enumeration value="MIDAS 5W30 C3 II (MID)"/>
                    <xsd:enumeration value="MIDAS 5W30 C4 (MID)"/>
                    <xsd:enumeration value="MIDAS 5W30 FORD (MID)"/>
                    <xsd:enumeration value="MIDAS 5W30 LLIFE 504/507 (MID)"/>
                    <xsd:enumeration value="MIDAS 5W40 (MID)"/>
                    <xsd:enumeration value="MIDAS 5W40 C3 (MID)"/>
                    <xsd:enumeration value="MIDAS 75W80 (MID)"/>
                    <xsd:enumeration value="MIDAS 75W90 (MID)"/>
                    <xsd:enumeration value="MIDAS 80W90 (MID)"/>
                    <xsd:enumeration value="MIDAS MULTI ATF (MID)"/>
                    <xsd:enumeration value="MILKANO TC 30 (TOT)"/>
                    <xsd:enumeration value="MILKANO TC 40 (TOT)"/>
                    <xsd:enumeration value="MISOLA AFH 150 (TOT)"/>
                    <xsd:enumeration value="MISOLA AFH 220 (TOT)"/>
                    <xsd:enumeration value="MISOLA ASC 100 (TOT)"/>
                    <xsd:enumeration value="MISOLA ASC 150 (TOT)"/>
                    <xsd:enumeration value="MISOLA ASC 220 (TOT)"/>
                    <xsd:enumeration value="MISOLA ASC 320 (TOT)"/>
                    <xsd:enumeration value="MISOLA MAP 150 (TOT)"/>
                    <xsd:enumeration value="MISOLA MAP 220 (TOT)"/>
                    <xsd:enumeration value="MISOLA MAP 320 (TOT)"/>
                    <xsd:enumeration value="MISOLA MAP 460 (TOT)"/>
                    <xsd:enumeration value="MISOLA MAP SH 150 (TOT)"/>
                    <xsd:enumeration value="MISOLA MAP SH 220 (TOT)"/>
                    <xsd:enumeration value="MISOLA MAP SH 320 (TOT)"/>
                    <xsd:enumeration value="MISOLA MAP SH 460 (TOT)"/>
                    <xsd:enumeration value="MISOLA MAP ZS 150 (TOT)"/>
                    <xsd:enumeration value="MISOLA MAP ZS 220 (TOT)"/>
                    <xsd:enumeration value="MISOLA MAP ZS 320 (TOT)"/>
                    <xsd:enumeration value="MOLDOL MR (TOT)"/>
                    <xsd:enumeration value="MOLDOL R 30413 (TOT)"/>
                    <xsd:enumeration value="MOLDOL R W 4926 (TOT)"/>
                    <xsd:enumeration value="MOLYGRAF 25W50 (TOT)"/>
                    <xsd:enumeration value="MOLYGRAPHITE 15W40 (ELF)"/>
                    <xsd:enumeration value="MOTAQUIP BEST 5W40 (PSA)"/>
                    <xsd:enumeration value="MOTAQUIP EXPERT 10W40 (PSA)"/>
                    <xsd:enumeration value="MOTAQUIP PREMIUM C2 5W30 (PSA)"/>
                    <xsd:enumeration value="MOTEUR PERMA (NEU)"/>
                    <xsd:enumeration value="MOTO 2 DX RATIO (ELF)"/>
                    <xsd:enumeration value="MOTO 2 GOLD (ELF)"/>
                    <xsd:enumeration value="MOTO 2 HP ECO (ELF)"/>
                    <xsd:enumeration value="MOTO 2 OFF ROAD (ELF)"/>
                    <xsd:enumeration value="MOTO 2 RACE (ELF)"/>
                    <xsd:enumeration value="MOTO 2 RACING (ELF)"/>
                    <xsd:enumeration value="MOTO 2 SELF MIX (ELF)"/>
                    <xsd:enumeration value="MOTO 2 TECH (ELF)"/>
                    <xsd:enumeration value="MOTO 2 TEMPS (ELF)"/>
                    <xsd:enumeration value="MOTO 2 XT TECH (ELF)"/>
                    <xsd:enumeration value="MOTO 4 10W30 (ELF)"/>
                    <xsd:enumeration value="MOTO 4 15W40 (ELF)"/>
                    <xsd:enumeration value="MOTO 4 20W40 (ELF)"/>
                    <xsd:enumeration value="MOTO 4 20W50 (ELF)"/>
                    <xsd:enumeration value="MOTO 4 CRUISE 20W50 (ELF)"/>
                    <xsd:enumeration value="MOTO 4 DX RATIO (ELF)"/>
                    <xsd:enumeration value="MOTO 4 GOLD 10W40 (ELF)"/>
                    <xsd:enumeration value="MOTO 4 GOLD 15W40 (ELF)"/>
                    <xsd:enumeration value="MOTO 4 GOLD 20W40 (ELF)"/>
                    <xsd:enumeration value="MOTO 4 GOLD 20W50 (ELF)"/>
                    <xsd:enumeration value="MOTO 4 HP ECO 10W40 (ELF)"/>
                    <xsd:enumeration value="MOTO 4 MAXI TECH 10W30 (ELF)"/>
                    <xsd:enumeration value="MOTO 4 PRO 10W30 (ELF)"/>
                    <xsd:enumeration value="MOTO 4 PRO 10W40 (ELF)"/>
                    <xsd:enumeration value="MOTO 4 PRO 15W40 (ELF)"/>
                    <xsd:enumeration value="MOTO 4 PRO 20W40 (ELF)"/>
                    <xsd:enumeration value="MOTO 4 PRO 20W50 (ELF)"/>
                    <xsd:enumeration value="MOTO 4 PRO 5W30 (ELF)"/>
                    <xsd:enumeration value="MOTO 4 PRO TECH 5W40 (ELF)"/>
                    <xsd:enumeration value="MOTO 4 RACE 10W40 (ELF)"/>
                    <xsd:enumeration value="MOTO 4 RACE 10W60 (ELF)"/>
                    <xsd:enumeration value="MOTO 4 RACING 10W50 (ELF)"/>
                    <xsd:enumeration value="MOTO 4 ROAD 10W40 (ELF)"/>
                    <xsd:enumeration value="MOTO 4 ROAD 15W50 (ELF)"/>
                    <xsd:enumeration value="MOTO 4 ROADSTAR 10W40 (ELF)"/>
                    <xsd:enumeration value="MOTO 4 SCOOT. 10W40 M (ELF)"/>
                    <xsd:enumeration value="MOTO 4 SCOOTER 10W30 (ELF)"/>
                    <xsd:enumeration value="MOTO 4 SCOOTER 20W40 (ELF)"/>
                    <xsd:enumeration value="MOTO 4 TECH 10W50 (ELF)"/>
                    <xsd:enumeration value="MOTO 4 TEMPS 10W40 (ELF)"/>
                    <xsd:enumeration value="MOTO 4 TWIN TECH 20W60 (ELF)"/>
                    <xsd:enumeration value="MOTO 4 XT TECH 10W50 (ELF)"/>
                    <xsd:enumeration value="MOTO AIR FILTER OIL (ELF)"/>
                    <xsd:enumeration value="MOTO BRAKE FLUID DOT 4 (ELF)"/>
                    <xsd:enumeration value="MOTO BRAKE FLUID DOT 5.1 (ELF)"/>
                    <xsd:enumeration value="MOTO CHAIN LUBE-AEROSOL (ELF)"/>
                    <xsd:enumeration value="MOTO CHAIN PASTE (ELF)"/>
                    <xsd:enumeration value="MOTO COOLANT MINERAL (ELF)"/>
                    <xsd:enumeration value="MOTO COOLANT ORGANIC (ELF)"/>
                    <xsd:enumeration value="MOTO DEGREASER+ (ELF)"/>
                    <xsd:enumeration value="MOTO FORK OIL 10W (ELF)"/>
                    <xsd:enumeration value="MOTO FORK OIL 15W (ELF)"/>
                    <xsd:enumeration value="MOTO FORK OIL 20W (ELF)"/>
                    <xsd:enumeration value="MOTO FORK OIL SYN 10W (ELF)"/>
                    <xsd:enumeration value="MOTO FORK OIL SYN 2,5W (ELF)"/>
                    <xsd:enumeration value="MOTO FORK OIL SYN 5W (ELF)"/>
                    <xsd:enumeration value="MOTO GEAR OIL 10W40 (ELF)"/>
                    <xsd:enumeration value="MOTO GEAR OIL 80W90 (ELF)"/>
                    <xsd:enumeration value="MOTO MULTI LUBE+ (ELF)"/>
                    <xsd:enumeration value="MOTO SPRAY SILICONE (ELF)"/>
                    <xsd:enumeration value="MOTOR OIL 0W20 (NIS)"/>
                    <xsd:enumeration value="MOTOR OIL 0W30 (NIS)"/>
                    <xsd:enumeration value="MOTOR OIL 10W30 (DAE)"/>
                    <xsd:enumeration value="MOTOR OIL 10W40 (NIS)"/>
                    <xsd:enumeration value="MOTOR OIL 10W40 SEMI SYNTHETIC (GM)"/>
                    <xsd:enumeration value="MOTOR OIL 15W40 (DAE)"/>
                    <xsd:enumeration value="MOTOR OIL 15W40 (GM)"/>
                    <xsd:enumeration value="MOTOR OIL 15W40 (NIS)"/>
                    <xsd:enumeration value="MOTOR OIL 15W40 EXTRA (NIS)"/>
                    <xsd:enumeration value="MOTOR OIL 5W30 (DAE)"/>
                    <xsd:enumeration value="MOTOR OIL 5W30 (NIS)"/>
                    <xsd:enumeration value="MOTOR OIL 5W30 DEXOS2 (GM)"/>
                    <xsd:enumeration value="MOTOR OIL 5W30 DPF (NIS)"/>
                    <xsd:enumeration value="MOTOR OIL 5W40 (DAT)"/>
                    <xsd:enumeration value="MOTOR OIL 5W40 (NIS)"/>
                    <xsd:enumeration value="MOTOR OIL 5W40 SUPREME + (GM)"/>
                    <xsd:enumeration value="MOTOR OIL FS 0W20 SN/GF5 (NIS)"/>
                    <xsd:enumeration value="MOTOR OIL FS 5W30 C4 DPF (NIS)"/>
                    <xsd:enumeration value="MOTOR OIL FS 5W30 SN/GF5 (NIS)"/>
                    <xsd:enumeration value="MOTOR OIL GPC SN 15W40 (YUN)"/>
                    <xsd:enumeration value="MOTOR OIL SN 10W40 (FOR)"/>
                    <xsd:enumeration value="MOTOR OIL SN 10W40 (MAZ)"/>
                    <xsd:enumeration value="MOTOR OIL SN 15W50 (FOR)"/>
                    <xsd:enumeration value="MOTOR OIL SN 15W50 (MAZ)"/>
                    <xsd:enumeration value="MOTOR OIL SN 5W40 (FOR)"/>
                    <xsd:enumeration value="MOTOR OIL SS 10W40 A3/B4 (NIS)"/>
                    <xsd:enumeration value="MOTOR OIL VP SN 5W50"/>
                    <xsd:enumeration value="MOUVEMENT L 24 (TOT)"/>
                    <xsd:enumeration value="MOUVEMENT L 31 (TOT)"/>
                    <xsd:enumeration value="MPM 0345 5W30 (ELF)"/>
                    <xsd:enumeration value="MPM 0894 (ELF)"/>
                    <xsd:enumeration value="MPM 110642 (TOT)"/>
                    <xsd:enumeration value="MPM 119 020 (TOT)"/>
                    <xsd:enumeration value="MPM 1344 A (ELF)"/>
                    <xsd:enumeration value="MT GEAR OIL TL/JR 75W80 (NIS)"/>
                    <xsd:enumeration value="MTC 100 (TOT)"/>
                    <xsd:enumeration value="MTC 150 (TOT)"/>
                    <xsd:enumeration value="MTC 220 (TOT)"/>
                    <xsd:enumeration value="MTC 68 (TOT)"/>
                    <xsd:enumeration value="MTQ/ERP BEST 5W40 (PSA)"/>
                    <xsd:enumeration value="MTQ/ERP EXPERT 10W40 (PSA)"/>
                    <xsd:enumeration value="MTQ/ERP PREMIUM C2 5W30 (PSA)"/>
                    <xsd:enumeration value="MTQ/ERP PREMIUM C4 5W30 (PSA)"/>
                    <xsd:enumeration value="MTQ/ERP SELECT 15W40 (PSA)"/>
                    <xsd:enumeration value="MT-XZ GEAR OIL PV (NIS)"/>
                    <xsd:enumeration value="MT-XZ GEAR OIL SP (NIS)"/>
                    <xsd:enumeration value="MULTAGRI MS 15W40 (TOT)"/>
                    <xsd:enumeration value="MULTAGRI PRO TEC 10W40 (TOT)"/>
                    <xsd:enumeration value="MULTAGRI SUPER 10W30 (TOT)"/>
                    <xsd:enumeration value="MULTAGRI SUPER 15W40 (TOT)"/>
                    <xsd:enumeration value="MULTAGRI TM 15W30 (TOT)"/>
                    <xsd:enumeration value="MULTAGRI TM 15W40 (TOT)"/>
                    <xsd:enumeration value="MULTAGRI TM 20W40 (TOT)"/>
                    <xsd:enumeration value="MULTAGRI UNIVERSAL 10W40 (TOT)"/>
                    <xsd:enumeration value="MULTI (ELF)"/>
                    <xsd:enumeration value="MULTI 3800 15W40 (TOT)"/>
                    <xsd:enumeration value="MULTI 3800 20W50 (TOT)"/>
                    <xsd:enumeration value="MULTI 5 10W40 (YAC)"/>
                    <xsd:enumeration value="MULTI DIESEL 15W40 (ELF)"/>
                    <xsd:enumeration value="MULTI G RACING 20W50 (GUL)"/>
                    <xsd:enumeration value="MULTI HT3 (TOT)"/>
                    <xsd:enumeration value="MULTI MOS 2 (ELF)"/>
                    <xsd:enumeration value="MULTIFIL EP 2 GREEN (NEU)"/>
                    <xsd:enumeration value="MULTIFIL EP 2 VERTE (NEU)"/>
                    <xsd:enumeration value="MULTIGRADE 10W30 (ELF)"/>
                    <xsd:enumeration value="MULTIGRADE 15W40 (ELF)"/>
                    <xsd:enumeration value="MULTIGRADE 20W50 (ELF)"/>
                    <xsd:enumeration value="MULTILUB 626 (NEU)"/>
                    <xsd:enumeration value="MULTIPLEX EP 2 (ELF)"/>
                    <xsd:enumeration value="MULTIPLEX EP A (TOT)"/>
                    <xsd:enumeration value="MULTIPLEX S2A (ELF)"/>
                    <xsd:enumeration value="MULTIPRO 15W40 (TOT)"/>
                    <xsd:enumeration value="MULTIPURPOSE G.L. 80W90 (GUL)"/>
                    <xsd:enumeration value="MULTIPURPOSE G.L. 85W140 (GUL)"/>
                    <xsd:enumeration value="MULTIPURPOSE G.L. 85W90 (GUL)"/>
                    <xsd:enumeration value="MULTIS 2 (TOT)"/>
                    <xsd:enumeration value="MULTIS 2 N 3702 (TOT)"/>
                    <xsd:enumeration value="MULTIS 2S (TOT)"/>
                    <xsd:enumeration value="MULTIS 3 (TOT)"/>
                    <xsd:enumeration value="MULTIS COMPLEX EP 2 (TOT)"/>
                    <xsd:enumeration value="MULTIS COMPLEX EP 3 (TOT)"/>
                    <xsd:enumeration value="MULTIS COMPLEX HV 2 (TOT)"/>
                    <xsd:enumeration value="MULTIS COMPLEX HV 2 MOLY (TOT)"/>
                    <xsd:enumeration value="MULTIS COMPLEX MV 2 (TOT)"/>
                    <xsd:enumeration value="MULTIS COMPLEX S2A (TOT)"/>
                    <xsd:enumeration value="MULTIS COMPLEX SHD 00 (TOT)"/>
                    <xsd:enumeration value="MULTIS COMPLEX SHD 100 (TOT)"/>
                    <xsd:enumeration value="MULTIS COMPLEX SHD 2 (TOT)"/>
                    <xsd:enumeration value="MULTIS COMPLEX SHD 220 (TOT)"/>
                    <xsd:enumeration value="MULTIS COMPLEX SHD 32 (TOT)"/>
                    <xsd:enumeration value="MULTIS COMPLEX SHD 460 (TOT)"/>
                    <xsd:enumeration value="MULTIS COMPLEX XHV2 MOLY (TOT)"/>
                    <xsd:enumeration value="MULTIS EP 0 (TOT)"/>
                    <xsd:enumeration value="MULTIS EP 0 S (TOT)"/>
                    <xsd:enumeration value="MULTIS EP 00 (TOT)"/>
                    <xsd:enumeration value="MULTIS EP 000 (TOT)"/>
                    <xsd:enumeration value="MULTIS EP 1 (TOT)"/>
                    <xsd:enumeration value="MULTIS EP 1S (TOT)"/>
                    <xsd:enumeration value="MULTIS EP 2 (TOT)"/>
                    <xsd:enumeration value="MULTIS EP 2S (TOT)"/>
                    <xsd:enumeration value="MULTIS EP 3 (TOT)"/>
                    <xsd:enumeration value="MULTIS EP 3S (TOT)"/>
                    <xsd:enumeration value="MULTIS FIL EP 2  (TOT)"/>
                    <xsd:enumeration value="MULTIS MS 2 (TOT)"/>
                    <xsd:enumeration value="MULTIS MS 2S (TOT)"/>
                    <xsd:enumeration value="MULTIS WB 2S (TOT)"/>
                    <xsd:enumeration value="MULTIS XHV 2 (TOT)"/>
                    <xsd:enumeration value="MULTIS XHV00 (TOT)"/>
                    <xsd:enumeration value="MULTIS XLT2 (TOT)"/>
                    <xsd:enumeration value="MULTIS ZS 000 (TOT)"/>
                    <xsd:enumeration value="MULTISERVICE (ELA)"/>
                    <xsd:enumeration value="MULTISUP 2 (NEU)"/>
                    <xsd:enumeration value="MULTISUP 3 (NEU)"/>
                    <xsd:enumeration value="MULTISUP EP 2 (NEU)"/>
                    <xsd:enumeration value="MVT 2500 (TOT)"/>
                    <xsd:enumeration value="MVT 3300 (TOT)"/>
                    <xsd:enumeration value="MVT 6200 (TOT)"/>
                    <xsd:enumeration value="MVT 7200 (TOT)"/>
                    <xsd:enumeration value="MVX 100 2T (YAC)"/>
                    <xsd:enumeration value="MVX 500 2T (YAC)"/>
                    <xsd:enumeration value="MVX SCOOT 2 SYNTH (YAC)"/>
                    <xsd:enumeration value="MVX SCOOT 2T (YAC)"/>
                    <xsd:enumeration value="N31640 (TOT)"/>
                    <xsd:enumeration value="NA-80 (NEU)"/>
                    <xsd:enumeration value="NARIA 68 (TOT)"/>
                    <xsd:enumeration value="NATERIA MH 40 (TOT)"/>
                    <xsd:enumeration value="NATERIA MJ 40 (TOT)"/>
                    <xsd:enumeration value="NATERIA ML 406 (TOT)"/>
                    <xsd:enumeration value="NATERIA MP 40 (TOT)"/>
                    <xsd:enumeration value="NATERIA MX 40 (TOT)"/>
                    <xsd:enumeration value="NATERIA V 40 (TOT)"/>
                    <xsd:enumeration value="NATERIA X 405 (TOT)"/>
                    <xsd:enumeration value="NAUTISME PLUS (RTO)"/>
                    <xsd:enumeration value="NC 100 (RTO)"/>
                    <xsd:enumeration value="NEOPOWER 10W40 (NAN)"/>
                    <xsd:enumeration value="NEOPOWER 15W40 SN (NAN)"/>
                    <xsd:enumeration value="NEPTUNA 2T BIO-JET (TOT)"/>
                    <xsd:enumeration value="NEPTUNA 2T RACING (TOT)"/>
                    <xsd:enumeration value="NEPTUNA 2T SUPER SPORT (TOT)"/>
                    <xsd:enumeration value="NEPTUNA SPEEDER 10W30 (TOT)"/>
                    <xsd:enumeration value="NEVASTANE 2+ (TOT)"/>
                    <xsd:enumeration value="NEVASTANE ANTIFREEZE (TOT)"/>
                    <xsd:enumeration value="NEVASTANE AW 22 (TOT)"/>
                    <xsd:enumeration value="NEVASTANE AW 32 (TOT)"/>
                    <xsd:enumeration value="NEVASTANE AW 46 (TOT)"/>
                    <xsd:enumeration value="NEVASTANE AW 68 (TOT)"/>
                    <xsd:enumeration value="NEVASTANE CHAIN OIL XT (TOT)"/>
                    <xsd:enumeration value="NEVASTANE EP 100 (TOT)"/>
                    <xsd:enumeration value="NEVASTANE EP 1000 (TOT)"/>
                    <xsd:enumeration value="NEVASTANE EP 150 (TOT)"/>
                    <xsd:enumeration value="NEVASTANE EP 220 (TOT)"/>
                    <xsd:enumeration value="NEVASTANE EP 320 (TOT)"/>
                    <xsd:enumeration value="NEVASTANE EP 460 (TOT)"/>
                    <xsd:enumeration value="NEVASTANE EP 680 (TOT)"/>
                    <xsd:enumeration value="NEVASTANE GREASE AEROSOL (TOT)"/>
                    <xsd:enumeration value="NEVASTANE HD2T (TOT)"/>
                    <xsd:enumeration value="NEVASTANE HPX (TOT)"/>
                    <xsd:enumeration value="NEVASTANE HTF (TOT)"/>
                    <xsd:enumeration value="NEVASTANE LUBE AEROSOL (TOT)"/>
                    <xsd:enumeration value="NEVASTANE SDO (TOT)"/>
                    <xsd:enumeration value="NEVASTANE SFG 1 (TOT)"/>
                    <xsd:enumeration value="NEVASTANE SFG 2 (TOT)"/>
                    <xsd:enumeration value="NEVASTANE SH 100 (TOT)"/>
                    <xsd:enumeration value="NEVASTANE SH 32 (TOT)"/>
                    <xsd:enumeration value="NEVASTANE SH 46 (TOT)"/>
                    <xsd:enumeration value="NEVASTANE SH 68 (TOT)"/>
                    <xsd:enumeration value="NEVASTANE SILICONE SAFEG (AEROSOL)(TOT)"/>
                    <xsd:enumeration value="NEVASTANE SY 220 (TOT)"/>
                    <xsd:enumeration value="NEVASTANE SY 320 (TOT)"/>
                    <xsd:enumeration value="NEVASTANE SY 460 (TOT)"/>
                    <xsd:enumeration value="NEVASTANE WET LUBE 100 (TOT)"/>
                    <xsd:enumeration value="NEVASTANE XMF 0 (TOT)"/>
                    <xsd:enumeration value="NEVASTANE XMF 00 (TOT)"/>
                    <xsd:enumeration value="NEVASTANE XMF 1 (TOT)"/>
                    <xsd:enumeration value="NEVASTANE XMF 2 (TOT)"/>
                    <xsd:enumeration value="NEVASTANE XS 320 (TOT)"/>
                    <xsd:enumeration value="NEVASTANE XS 80 (TOT)"/>
                    <xsd:enumeration value="NEVASTANE XSH 150 (TOT)"/>
                    <xsd:enumeration value="NEVASTANE XSH 220 (TOT)"/>
                    <xsd:enumeration value="NEVASTANE XSH 320 (TOT)"/>
                    <xsd:enumeration value="NEVASTANE XSH 460 (TOT)"/>
                    <xsd:enumeration value="NOR BOÎTE PONT 4X4 80W90 (NTO)"/>
                    <xsd:enumeration value="NOR BOITE PONT 75W80 PSA (NTO)"/>
                    <xsd:enumeration value="NORAUTO  505.01 5W40 (NTO)"/>
                    <xsd:enumeration value="NORAUTO  C2 FAP 5W30 (NTO)"/>
                    <xsd:enumeration value="NORAUTO  C3 5W30 (NTO)"/>
                    <xsd:enumeration value="NORAUTO 10W40  (NTO)"/>
                    <xsd:enumeration value="NORAUTO 10W40 4T MOTO (NTO)"/>
                    <xsd:enumeration value="NORAUTO 10W40 DIESEL (NTO)"/>
                    <xsd:enumeration value="NORAUTO 10W40 ESSENCE (NTO)"/>
                    <xsd:enumeration value="NORAUTO 15W40 (NTO)"/>
                    <xsd:enumeration value="NORAUTO 15W40 DIESEL (NTO)"/>
                    <xsd:enumeration value="NORAUTO 15W40 ESSENCE (NTO)"/>
                    <xsd:enumeration value="NORAUTO 20W50 ESSENCE (NTO)"/>
                    <xsd:enumeration value="NORAUTO 2T SCOOTER (NTO)"/>
                    <xsd:enumeration value="NORAUTO 5W40 ESSENCE (NTO)"/>
                    <xsd:enumeration value="NORAUTO 5W40(NTO)"/>
                    <xsd:enumeration value="NORAUTO B4 5W40 DIESEL (NTO)"/>
                    <xsd:enumeration value="NORAUTO BOITE PONT 75W90 (NTO)"/>
                    <xsd:enumeration value="NORAUTO BOITE PONT 80W90 (NTO)"/>
                    <xsd:enumeration value="NORAUTO C1 5W30 (NTO)"/>
                    <xsd:enumeration value="NORAUTO C3 504-507 5W30  (NTO)"/>
                    <xsd:enumeration value="NORAUTO C4 5W30 (NTO)"/>
                    <xsd:enumeration value="NORAUTO DEXRON III (NTO)"/>
                    <xsd:enumeration value="NORAUTO DIRECT. ASSIST. (NTO)"/>
                    <xsd:enumeration value="NORAUTO DSG FLUID (NTO)"/>
                    <xsd:enumeration value="NORAUTO M2C913 5W30  (NTO)"/>
                    <xsd:enumeration value="NORAUTO M2C948 5W20 (NTO)"/>
                    <xsd:enumeration value="NORAUTO MOTOCULT. 4 TPS (NTO)"/>
                    <xsd:enumeration value="NORAUTO MULTI ATF (NTO)"/>
                    <xsd:enumeration value="NOREMAT HYDRAULIQUE (NOR)"/>
                    <xsd:enumeration value="NS-1 CVT FLUID (NIS)"/>
                    <xsd:enumeration value="NS-3 CVT FLUID (NIS)"/>
                    <xsd:enumeration value="NYCOGREASE GN 10 (NYC)"/>
                    <xsd:enumeration value="NYCOGREASE GN 17 (NYC)"/>
                    <xsd:enumeration value="NYCOGREASE GN 22 (NYC)"/>
                    <xsd:enumeration value="NYCOGREASE GN 27 (NYC)"/>
                    <xsd:enumeration value="NYCOGREASE GN GA 47 (NYC)"/>
                    <xsd:enumeration value="NYCOLUBE 7870 (NYC)"/>
                    <xsd:enumeration value="O-1179 (SEA)"/>
                    <xsd:enumeration value="O-135 (SEA)"/>
                    <xsd:enumeration value="O-226 (SEA)"/>
                    <xsd:enumeration value="O-228 (SEA)"/>
                    <xsd:enumeration value="O-249 (SEA)"/>
                    <xsd:enumeration value="O-249 (TOT)"/>
                    <xsd:enumeration value="OLIO MAX ATF MULTI (DAI)"/>
                    <xsd:enumeration value="OLIO MAX POWER 5W50 SN (DAI)"/>
                    <xsd:enumeration value="OLIO MAX ULTRA 10W40 SN (DAI)"/>
                    <xsd:enumeration value="OML 150 (RTO)"/>
                    <xsd:enumeration value="OML 220 (RTO)"/>
                    <xsd:enumeration value="OML 220 SYN (RTO)"/>
                    <xsd:enumeration value="OML 320 (RTO)"/>
                    <xsd:enumeration value="OML 460 (RTO)"/>
                    <xsd:enumeration value="OML 680 (RTO)"/>
                    <xsd:enumeration value="OML PG 270 (RTO)"/>
                    <xsd:enumeration value="OPTIPRO 5W40 (TOT)"/>
                    <xsd:enumeration value="OPTIPRO C2 5W30 (TOT)"/>
                    <xsd:enumeration value="ORGANIC COOLANT 50% (GUL)"/>
                    <xsd:enumeration value="ORIGINAL OIL 10W40 (MAZ)"/>
                    <xsd:enumeration value="ORIGINAL OIL ATF FZ (MAZ)"/>
                    <xsd:enumeration value="ORIGINAL OIL ATF M-III (MAZ)"/>
                    <xsd:enumeration value="ORIGINAL OIL ATF M-V (MAZ)"/>
                    <xsd:enumeration value="ORIGINAL OIL SUPDPF 0W30 (MAZ)"/>
                    <xsd:enumeration value="ORIGINAL OIL SUPRA 0W20 (MAZ)"/>
                    <xsd:enumeration value="ORIGINAL OIL SUPRA 0W30 (MAZ)"/>
                    <xsd:enumeration value="ORIGINAL OIL ULT DPF5W30 (MAZ)"/>
                    <xsd:enumeration value="ORIGINAL OIL ULTRA 5W30 (MAZ)"/>
                    <xsd:enumeration value="ORITES DS 270 (TOT)"/>
                    <xsd:enumeration value="ORITES DS 270D (TOT)"/>
                    <xsd:enumeration value="ORITES DS 270X (TOT)"/>
                    <xsd:enumeration value="ORITES EDA 220 (TOT)"/>
                    <xsd:enumeration value="ORITES TN 32 (TOT)"/>
                    <xsd:enumeration value="ORITES TW 220 (TOT)"/>
                    <xsd:enumeration value="ORITES TW 220 KX (TOT)"/>
                    <xsd:enumeration value="ORITES TW 220X (TOT)"/>
                    <xsd:enumeration value="OSYRIS  Y 3000 (TOT)"/>
                    <xsd:enumeration value="OSYRIS DWL 3550 (TOT)"/>
                    <xsd:enumeration value="OSYRIS DWX 3000 (TOT)"/>
                    <xsd:enumeration value="OSYRIS DWX 5000 (TOT)"/>
                    <xsd:enumeration value="OSYRIS DWY 4000 (TOT)"/>
                    <xsd:enumeration value="OSYRIS DWY 6000(TOT)"/>
                    <xsd:enumeration value="OSYRIS X 9100 (TOT)"/>
                    <xsd:enumeration value="OSYRIS Y 1000 (TOT)"/>
                    <xsd:enumeration value="OSYRIS Y 4000 (TOT)"/>
                    <xsd:enumeration value="P 150 (NEU)"/>
                    <xsd:enumeration value="P 150 / 51162 / LB (NEU)"/>
                    <xsd:enumeration value="P 280 (NEU)"/>
                    <xsd:enumeration value="PARATEX 404 (TXL)"/>
                    <xsd:enumeration value="PARATEX APZX 5300 (TXL)"/>
                    <xsd:enumeration value="PARATEX B 5830 Z (TXL)"/>
                    <xsd:enumeration value="PARATEX ENC 51 Z (TXL)"/>
                    <xsd:enumeration value="PARATEX TO 504 (PTN)"/>
                    <xsd:enumeration value="PATE ALUMINIUM 2217 (NEU)"/>
                    <xsd:enumeration value="PATE AU CUIVRE (NEU)"/>
                    <xsd:enumeration value="PERF. EXPERTY 10W40 (ELF)"/>
                    <xsd:enumeration value="PERF. EXPERTY HDX 10W40 (ELF)"/>
                    <xsd:enumeration value="PERF. EXPERTY LSX 10W40 (ELF)"/>
                    <xsd:enumeration value="PERF. HARMONY 15W40 (ELF)"/>
                    <xsd:enumeration value="PERF. HARMONY FE 10W30 (ELF)"/>
                    <xsd:enumeration value="PERF. POLYTRAFIC 10W40 (ELF)"/>
                    <xsd:enumeration value="PERF. SUPER D 15W40 (ELF)"/>
                    <xsd:enumeration value="PERF. SUPER D 20W50 (ELF)"/>
                    <xsd:enumeration value="PERF. TROPHY DX 15W40 (ELF)"/>
                    <xsd:enumeration value="PERF. VICTORY 15W40 (ELF)"/>
                    <xsd:enumeration value="PERF. VICTORY FE 10W30 (ELF)"/>
                    <xsd:enumeration value="PERFO 3F 15W40 (ELF)"/>
                    <xsd:enumeration value="PERFO 3F 20W50 (ELF)"/>
                    <xsd:enumeration value="PERFO DH-2 15W40 (ELF)"/>
                    <xsd:enumeration value="PERFO DH-2 FE 10W30 (ELF)"/>
                    <xsd:enumeration value="PERFO GAS LA 15W40 (ELF)"/>
                    <xsd:enumeration value="PERFO HDX 200 15W40 (ELF)"/>
                    <xsd:enumeration value="PERFO HDX 200 20W40 (ELF)"/>
                    <xsd:enumeration value="PERFO HDX 200 20W50 (ELF)"/>
                    <xsd:enumeration value="PERFO HDX 200 SAE 10W (ELF)"/>
                    <xsd:enumeration value="PERFO HDX 200 SAE 30 (ELF)"/>
                    <xsd:enumeration value="PERFO HDX 200 SAE 40 (ELF)"/>
                    <xsd:enumeration value="PERFO HDX 200 SAE 50 (ELF)"/>
                    <xsd:enumeration value="PERFO HDX 300 10W30 (ELF)"/>
                    <xsd:enumeration value="PERFO HDX 300 15W40 (ELF)"/>
                    <xsd:enumeration value="PERFO HDX 300 15W50 (ELF)"/>
                    <xsd:enumeration value="PERFO HDX 300 20W50 (ELF)"/>
                    <xsd:enumeration value="PERFO HDX 400 15W40 (ELF)"/>
                    <xsd:enumeration value="PERFO HDX 400 20W50 (ELF)"/>
                    <xsd:enumeration value="PERFO HDX 500 10W30 (ELF)"/>
                    <xsd:enumeration value="PERFO HDX 500 15W40 (ELF)"/>
                    <xsd:enumeration value="PERFO HDX 500 20W50 (ELF)"/>
                    <xsd:enumeration value="PERFO HDX 700 10W30 (ELF)"/>
                    <xsd:enumeration value="PERFO HDX 700 15W40 (ELF)"/>
                    <xsd:enumeration value="PERFO HDX 700 20W50 (ELF)"/>
                    <xsd:enumeration value="PERFO HDX 900 10W30 (ELF)"/>
                    <xsd:enumeration value="PERFO HDX 900 10W40 (ELF)"/>
                    <xsd:enumeration value="PERFO HDX 900 15W40 (ELF)"/>
                    <xsd:enumeration value="PERFO HDX 900 20W50 (ELF)"/>
                    <xsd:enumeration value="PERFO XC 10W (ELF)"/>
                    <xsd:enumeration value="PERFO XC 15W40 (ELF)"/>
                    <xsd:enumeration value="PERFO XC 40 (ELF)"/>
                    <xsd:enumeration value="PERFO XC 50 (ELF)"/>
                    <xsd:enumeration value="PERFORMANCE DD 40 (ELF)"/>
                    <xsd:enumeration value="PERFORMANCE DISCOVERY FE 15W30 (ELF)"/>
                    <xsd:enumeration value="PERFORMANCE EXPERTY FE 5W30 (ELF)"/>
                    <xsd:enumeration value="PERFORMANCE EXPERTY LSX FE 10W30 (ELF)"/>
                    <xsd:enumeration value="PERFORMANCE GALAXY FE 10W30 (ELF)"/>
                    <xsd:enumeration value="PERFORMANCE HP 40 (TOT)"/>
                    <xsd:enumeration value="PERFORMANCE SUPER D 10W (ELF)"/>
                    <xsd:enumeration value="PERFORMANCE SUPER D 20W20 (ELF)"/>
                    <xsd:enumeration value="PERFORMANCE SUPER D 30 (ELF)"/>
                    <xsd:enumeration value="PERFORMANCE SUPER D 40 (ELF)"/>
                    <xsd:enumeration value="PERFORMANCE SUPER D 50 (ELF)"/>
                    <xsd:enumeration value="PERFORMANCE VICTORY SC 15W40 (ELF)"/>
                    <xsd:enumeration value="PERMA CLASSIC 3 MOIS (TOT)"/>
                    <xsd:enumeration value="PERMA CLASSIC 6 MOIS (TOT)"/>
                    <xsd:enumeration value="PETITS MECANISMES (TOT)"/>
                    <xsd:enumeration value="PHOENIX COMPLEX EP 2 (TOT)"/>
                    <xsd:enumeration value="PHOENIX EP 2 (TOT)"/>
                    <xsd:enumeration value="PLANETELF ACD 100 FY (TOT)"/>
                    <xsd:enumeration value="PLANETELF ACD 150 FY (TOT)"/>
                    <xsd:enumeration value="PLANETELF ACD 220 FY (TOT)"/>
                    <xsd:enumeration value="PLANETELF ACD 32 (TOT)"/>
                    <xsd:enumeration value="PLANETELF ACD 46 (TOT)"/>
                    <xsd:enumeration value="PLANETELF ACD 68 (TOT)"/>
                    <xsd:enumeration value="PLANETELF PAG 244 F (TOT)"/>
                    <xsd:enumeration value="PLANETELF PAG 488 (TOT)"/>
                    <xsd:enumeration value="PLANETELF PAG SP 20 (TOT)"/>
                    <xsd:enumeration value="PNEUMA 100 (TOT)"/>
                    <xsd:enumeration value="PNEUMA 150 (TOT)"/>
                    <xsd:enumeration value="PNEUMA 46 (TOT)"/>
                    <xsd:enumeration value="PNEUMA 68 (TOT)"/>
                    <xsd:enumeration value="PNEUMA SY (TOT)"/>
                    <xsd:enumeration value="POLY AGRI 15W40 (ELA)"/>
                    <xsd:enumeration value="POLY PRO 10W40 (ELA)"/>
                    <xsd:enumeration value="POLY TP (RTO)"/>
                    <xsd:enumeration value="POLY TP 10W40 (ELA)"/>
                    <xsd:enumeration value="PONTONIC BV 75W80 (FIN)"/>
                    <xsd:enumeration value="PONTONIC FDL 75W90 (FIN)"/>
                    <xsd:enumeration value="PONTONIC MP 80W90 (FIN)"/>
                    <xsd:enumeration value="PONTONIC MP 85W140 (FIN)"/>
                    <xsd:enumeration value="PONTONIC N 80W85 (FIN)"/>
                    <xsd:enumeration value="PONTONIC TI 75W80 (FIN)"/>
                    <xsd:enumeration value="POWERTECH 10W40 (ELF)"/>
                    <xsd:enumeration value="POWERTECH 5W40 (ELF)"/>
                    <xsd:enumeration value="PREMIUM 504/507 5W30 (ERP)"/>
                    <xsd:enumeration value="PREMIUM A5/B5 5W30 (ERP)"/>
                    <xsd:enumeration value="PREMIUM C2 5W30 (ERP)"/>
                    <xsd:enumeration value="PREMIUM C3 5W30 (ERP)"/>
                    <xsd:enumeration value="PREMIUM C4 5W30 (ERP)"/>
                    <xsd:enumeration value="PRESLIA 100 (TOT)"/>
                    <xsd:enumeration value="PRESLIA 32 (TOT)"/>
                    <xsd:enumeration value="PRESLIA 46 (TOT)"/>
                    <xsd:enumeration value="PRESLIA 68 (TOT)"/>
                    <xsd:enumeration value="PRESLIA GT 32 (TOT)"/>
                    <xsd:enumeration value="PRESLIA GT 46 (TOT)"/>
                    <xsd:enumeration value="PRESLIA SE HTS (TOT)"/>
                    <xsd:enumeration value="PRESLIA SE JET (TOT)"/>
                    <xsd:enumeration value="PRESTIGRADE DIESEL 15W40 (ELF)"/>
                    <xsd:enumeration value="PRESTIGRADE TS 15W40 (ELF)"/>
                    <xsd:enumeration value="PRESTIGRADE TS 20W50 (ELF)"/>
                    <xsd:enumeration value="PREXIMA 10W (RTO)"/>
                    <xsd:enumeration value="PREXIMA 30 (RTO)"/>
                    <xsd:enumeration value="PREXIMA 40 (RTO)"/>
                    <xsd:enumeration value="PROGRESS C2 5W30 (GUL)"/>
                    <xsd:enumeration value="PROGRESS C2/C3 5W30 (GUL)"/>
                    <xsd:enumeration value="PROGRESS C3 5W30 (GUL)"/>
                    <xsd:enumeration value="PROGRESS C4 5W30 (GUL)"/>
                    <xsd:enumeration value="PROGRESS EFFICIENCY 5W40 (GUL)"/>
                    <xsd:enumeration value="PROGRESS EXTENDED 5W30 (GUL)"/>
                    <xsd:enumeration value="PROGRESS INTENSIA 5W30 (GUL)"/>
                    <xsd:enumeration value="PROSYLVA 2T SYN (TOT)"/>
                    <xsd:enumeration value="PROSYLVA 2TZ (TOT)"/>
                    <xsd:enumeration value="PROSYLVA 4T (TOT)"/>
                    <xsd:enumeration value="PROSYLVA 4T SYN 10W40 (TOT)"/>
                    <xsd:enumeration value="PSA 9726255/9726257 5W40 (TOT)"/>
                    <xsd:enumeration value="PSA 9726258/9726259 5W30 (TOT)"/>
                    <xsd:enumeration value="PSA D 9726552/9726556 (TOT)"/>
                    <xsd:enumeration value="PSA N 9726553/9726555 (TOT)"/>
                    <xsd:enumeration value="PSF (NIS)"/>
                    <xsd:enumeration value="PSF RLT FLUID D.ASSISTEE (TOT)"/>
                    <xsd:enumeration value="PUBLIC WORKS 10W (GUL)"/>
                    <xsd:enumeration value="PV 100 (TOT)"/>
                    <xsd:enumeration value="PV 100 PLUS (TOT)"/>
                    <xsd:enumeration value="PV SH 100 (TOT)"/>
                    <xsd:enumeration value="PX 2550 (TOT)"/>
                    <xsd:enumeration value="PX 2889 (TOT)"/>
                    <xsd:enumeration value="PX 5810 (TOT)"/>
                    <xsd:enumeration value="PX 6340 (TOT)"/>
                    <xsd:enumeration value="PX 6341 (TOT)"/>
                    <xsd:enumeration value="QUARTZ 3000 20W50 (TOT)"/>
                    <xsd:enumeration value="QUARTZ 3000 SG 20W50 (TOT)"/>
                    <xsd:enumeration value="QUARTZ 3000 SJ 10W30 (TOT)"/>
                    <xsd:enumeration value="QUARTZ 3000 SJ 15W40 (TOT)"/>
                    <xsd:enumeration value="QUARTZ 3000 SJ 20W50 (TOT)"/>
                    <xsd:enumeration value="QUARTZ 3000 SJ 5W30 (TOT)"/>
                    <xsd:enumeration value="QUARTZ 4000 20W50 (TOT)"/>
                    <xsd:enumeration value="QUARTZ 4000 SL 10W30 (TOT)"/>
                    <xsd:enumeration value="QUARTZ 4000 SL 10W40 (TOT)"/>
                    <xsd:enumeration value="QUARTZ 4000 SL 15W40 (TOT)"/>
                    <xsd:enumeration value="QUARTZ 4000 SL 20W50 (TOT)"/>
                    <xsd:enumeration value="QUARTZ 4000 SL 25W50 (TOT)"/>
                    <xsd:enumeration value="QUARTZ 4000 SL 5W30 (TOT)"/>
                    <xsd:enumeration value="QUARTZ 4000 SL SAE 40 (TOT)"/>
                    <xsd:enumeration value="QUARTZ 4000 SL SAE 50 (TOT)"/>
                    <xsd:enumeration value="QUARTZ 4000 SM 10W30 (TOT)"/>
                    <xsd:enumeration value="QUARTZ 4000 SM 10W40 (TOT)"/>
                    <xsd:enumeration value="QUARTZ 4000 SM 20W50 (TOT)"/>
                    <xsd:enumeration value="QUARTZ 4000 SM 5W30 (TOT)"/>
                    <xsd:enumeration value="QUARTZ 4X4 15W40 (TOT)"/>
                    <xsd:enumeration value="QUARTZ 4X4 15W50 (SN)"/>
                    <xsd:enumeration value="QUARTZ 4X4 15W50 (TOT)"/>
                    <xsd:enumeration value="QUARTZ 5000 15W40 (TOT)"/>
                    <xsd:enumeration value="QUARTZ 5000 20W50 (TOT)"/>
                    <xsd:enumeration value="QUARTZ 5000 FUT.XT 5W20 (TOT)"/>
                    <xsd:enumeration value="QUARTZ 5000 FUT.XT 5W30 (TOT)"/>
                    <xsd:enumeration value="QUARTZ 5000 SL 10W30 (TOT)"/>
                    <xsd:enumeration value="QUARTZ 5000 SL 15W40 (TOT)"/>
                    <xsd:enumeration value="QUARTZ 5000 SL 20W50 (TOT)"/>
                    <xsd:enumeration value="QUARTZ 5000 SM 10W40 (TOT)"/>
                    <xsd:enumeration value="QUARTZ 5000 SM 15W40 (TOT)"/>
                    <xsd:enumeration value="QUARTZ 5000 SM 15W50 (TOT)"/>
                    <xsd:enumeration value="QUARTZ 5000 SM 20W50 (TOT)"/>
                    <xsd:enumeration value="QUARTZ 5000 SM 5W30 (TOT)"/>
                    <xsd:enumeration value="QUARTZ 5000 SN 10W40 (TOT)"/>
                    <xsd:enumeration value="QUARTZ 5000 SN 15W40 (TOT)"/>
                    <xsd:enumeration value="QUARTZ 5000 SN 15W50 (TOT)"/>
                    <xsd:enumeration value="QUARTZ 5000 SN 20W50 (TOT)"/>
                    <xsd:enumeration value="QUARTZ 5000FUT.GF5 10W30 (TOT)"/>
                    <xsd:enumeration value="QUARTZ 5000FUT.GF5 5W30 (TOT)"/>
                    <xsd:enumeration value="QUARTZ 5000FUT.XT 10W30 (TOT)"/>
                    <xsd:enumeration value="QUARTZ 7000 10W40 (SN) (TOT)"/>
                    <xsd:enumeration value="QUARTZ 7000 10W40 (TOT)"/>
                    <xsd:enumeration value="QUARTZ 7000 15W50 (SN)"/>
                    <xsd:enumeration value="QUARTZ 7000 15W50 (TOT)"/>
                    <xsd:enumeration value="QUARTZ 7000 5W40"/>
                    <xsd:enumeration value="QUARTZ 7000 EGY10W40(SN) (TOT)"/>
                    <xsd:enumeration value="QUARTZ 7000 ENERGY 10W40 (TOT)"/>
                    <xsd:enumeration value="QUARTZ 7000 FUT.XT 5W20 (TOT)"/>
                    <xsd:enumeration value="QUARTZ 7000 FUT.XT 5W30 (TOT)"/>
                    <xsd:enumeration value="QUARTZ 7000 FUTURE 10W30 (TOT)"/>
                    <xsd:enumeration value="QUARTZ 7000 FUTURE 5W20 (TOT)"/>
                    <xsd:enumeration value="QUARTZ 7000 FUTURE 5W30 (TOT)"/>
                    <xsd:enumeration value="QUARTZ 7000 GMO 5W30 (TOT)"/>
                    <xsd:enumeration value="QUARTZ 7000 SM 10W40 (TOT)"/>
                    <xsd:enumeration value="QUARTZ 7000 SM 15W40 (TOT)"/>
                    <xsd:enumeration value="QUARTZ 7000 SN 10W40 (TOT)"/>
                    <xsd:enumeration value="QUARTZ 7000 SN 15W40 (TOT)"/>
                    <xsd:enumeration value="QUARTZ 7000 SN 15W50 (TOT)"/>
                    <xsd:enumeration value="QUARTZ 7000 SN 5W40 (TOT)"/>
                    <xsd:enumeration value="QUARTZ 7000FUT.GF5 10W30 (TOT)"/>
                    <xsd:enumeration value="QUARTZ 7000FUT.GF5 5W20 (TOT)"/>
                    <xsd:enumeration value="QUARTZ 7000FUT.GF5 5W30 (TOT)"/>
                    <xsd:enumeration value="QUARTZ 7000FUT.XT 10W30 (TOT)"/>
                    <xsd:enumeration value="QUARTZ 8000 0W20 (TOT)"/>
                    <xsd:enumeration value="QUARTZ 8000 5W30 (TOT)"/>
                    <xsd:enumeration value="QUARTZ 9000 0W30 (TOT)"/>
                    <xsd:enumeration value="QUARTZ 9000 5W40 (TOT)"/>
                    <xsd:enumeration value="QUARTZ 9000 DID 5W30 (TOT)"/>
                    <xsd:enumeration value="QUARTZ 9000 ENER.RQ 5W40 (TOT)"/>
                    <xsd:enumeration value="QUARTZ 9000 ENERGY 0W30 (TOT)"/>
                    <xsd:enumeration value="QUARTZ 9000 ENERGY 0W40 (TOT)"/>
                    <xsd:enumeration value="QUARTZ 9000 ENERGY 5W30 (TOT)"/>
                    <xsd:enumeration value="QUARTZ 9000 ENERGY 5W40 (TOT)"/>
                    <xsd:enumeration value="QUARTZ 9000 ENERGY HKS (TOT)"/>
                    <xsd:enumeration value="QUARTZ 9000 ENERGY SMK 5W40 (TOT)"/>
                    <xsd:enumeration value="QUARTZ 9000 FUT.FGC 0W20 (TOT)"/>
                    <xsd:enumeration value="QUARTZ 9000 FUT.XPC 5W30 (TOT)"/>
                    <xsd:enumeration value="QUARTZ 9000 FUT.XT 5W30 (TOT)"/>
                    <xsd:enumeration value="QUARTZ 9000 FUTURE 0W20 (TOT)"/>
                    <xsd:enumeration value="QUARTZ 9000 FUTURE 0W30  (TOT)"/>
                    <xsd:enumeration value="QUARTZ 9000 FUTURE 5W20 (TOT)"/>
                    <xsd:enumeration value="QUARTZ 9000 FUTURE 5W30 (TOT)"/>
                    <xsd:enumeration value="QUARTZ 9000 SM 5W30 (TOT)"/>
                    <xsd:enumeration value="QUARTZ 9000 SM 5W40 (TOT)"/>
                    <xsd:enumeration value="QUARTZ 9000 SM 5W50 (TOT)"/>
                    <xsd:enumeration value="QUARTZ 9000 SN 5W40 (TOT)"/>
                    <xsd:enumeration value="QUARTZ 9000 SN 5W50 (TOT)"/>
                    <xsd:enumeration value="QUARTZ 9000 V-DRIVE 0W20 (TOT)"/>
                    <xsd:enumeration value="QUARTZ 9000 VO 5W30 (TOT)"/>
                    <xsd:enumeration value="QUARTZ 9000FUT.ECOB 5W20 (TOT)"/>
                    <xsd:enumeration value="QUARTZ 9000FUT.FGC 5W30 (TOT)"/>
                    <xsd:enumeration value="QUARTZ 9000FUT.GF5 0W20 (TOT)"/>
                    <xsd:enumeration value="QUARTZ 9000FUT.GF5 0W30 (TOT)"/>
                    <xsd:enumeration value="QUARTZ 9000FUT.GF5 10W30 (TOT)"/>
                    <xsd:enumeration value="QUARTZ 9000FUT.GF5 5W20 (TOT)"/>
                    <xsd:enumeration value="QUARTZ 9000FUT.GF5 5W30 (TOT)"/>
                    <xsd:enumeration value="QUARTZ 9000FUT.NFC 5W30 (TOT)"/>
                    <xsd:enumeration value="QUARTZ 9000FUT.SMX 5W30 (TOT)"/>
                    <xsd:enumeration value="QUARTZ 9000FUT.SMX 5W50 (TOT)"/>
                    <xsd:enumeration value="QUARTZ 9000FUT.XT 10W30 (TOT)"/>
                    <xsd:enumeration value="QUARTZ 9000FUT.XT 5W20 (TOT)"/>
                    <xsd:enumeration value="QUARTZ D 7000 10W40 (SN) (TOT)"/>
                    <xsd:enumeration value="QUARTZ D. 3000 SAE 40 (TOT)"/>
                    <xsd:enumeration value="QUARTZ D.4000 CF-4 10W30 (TOT)"/>
                    <xsd:enumeration value="QUARTZ D.4000 CF-4 20W50 (TOT)"/>
                    <xsd:enumeration value="QUARTZ D.5000 CI-4 15W40 (TOT)"/>
                    <xsd:enumeration value="QUARTZ D.7000 CI-4 10W30 (TOT)"/>
                    <xsd:enumeration value="QUARTZ D.7000 CI-4 10W40 (TOT)"/>
                    <xsd:enumeration value="QUARTZ D.9000 CI-4 5W30 (TOT)"/>
                    <xsd:enumeration value="QUARTZ DIESEL 5000 15W40 (TOT)"/>
                    <xsd:enumeration value="QUARTZ DIESEL 7000 10W40 (TOT)"/>
                    <xsd:enumeration value="QUARTZ FE MAX SN 0W16 (TOT)"/>
                    <xsd:enumeration value="QUARTZ INEO 229.31 5W40  (TOT)"/>
                    <xsd:enumeration value="QUARTZ INEO C1 5W30 (TOT)"/>
                    <xsd:enumeration value="QUARTZ INEO DL-1 5W30 (TOT)"/>
                    <xsd:enumeration value="QUARTZ INEO ECS 5W30 (TOT)"/>
                    <xsd:enumeration value="QUARTZ INEO EFFICEN 0W30 (TOT)"/>
                    <xsd:enumeration value="QUARTZ INEO FDE 0W30 (TOT)"/>
                    <xsd:enumeration value="QUARTZ INEO FIRST 0W30 (TOT)"/>
                    <xsd:enumeration value="QUARTZ INEO HKS D 5W30 (TOT)"/>
                    <xsd:enumeration value="QUARTZ INEO L LIFE 5W30 (TOT)"/>
                    <xsd:enumeration value="QUARTZ INEO MC3 5W30 (TOT)"/>
                    <xsd:enumeration value="QUARTZ INEO MC3 5W40 (TOT)"/>
                    <xsd:enumeration value="QUARTZ INEO MDC 5W30 (TOT)"/>
                    <xsd:enumeration value="QUARTZ RACING 10W50 (TOT)"/>
                    <xsd:enumeration value="QUARTZ RACING 10W60 (TOT)"/>
                    <xsd:enumeration value="QUARTZ RACING SN 10W60 (TOT)"/>
                    <xsd:enumeration value="QUARTZ SMC 0W20 (TOT)"/>
                    <xsd:enumeration value="QUARTZ SMC 5W30 (TOT)"/>
                    <xsd:enumeration value="RACING 2T 20W20 (TOT)"/>
                    <xsd:enumeration value="RAFF FOOD 0 (NEU)"/>
                    <xsd:enumeration value="RAFF FOOD 00 (NEU)"/>
                    <xsd:enumeration value="RAFF FOOD EP 1,5 (NEU)"/>
                    <xsd:enumeration value="RAFF GCV 00 (NEU)"/>
                    <xsd:enumeration value="RAFF PYR TT (NEU)"/>
                    <xsd:enumeration value="RAFF UREAGREASE 420 (NEU)"/>
                    <xsd:enumeration value="RAFF UREAGREASE HDP 460 (NEU)"/>
                    <xsd:enumeration value="RAM ECO (RTO)"/>
                    <xsd:enumeration value="REAR AXLE OIL 80W90 (GM)"/>
                    <xsd:enumeration value="REFR.RENAULT 022529630 (REN)"/>
                    <xsd:enumeration value="REFRIG.ANTICONG.PEUGEOT (PEU)"/>
                    <xsd:enumeration value="REFRIGERANT RENAULT 40 (ELF)"/>
                    <xsd:enumeration value="REFRIGERANTE COOLELF 30 (TOT)"/>
                    <xsd:enumeration value="REFRIGERANTE COOLELF 40 (TOT)"/>
                    <xsd:enumeration value="REFRIGERANTE COOLELF 50 (TOT)"/>
                    <xsd:enumeration value="RENAULTMATIC D2 (ELF)"/>
                    <xsd:enumeration value="RENAULTMATIC D3 SYN (ELF)"/>
                    <xsd:enumeration value="RUBIA 4400 15W40 (TOT)"/>
                    <xsd:enumeration value="RUBIA 4400 20W50 (TOT)"/>
                    <xsd:enumeration value="RUBIA 6400 15W40 (TOT)"/>
                    <xsd:enumeration value="RUBIA 7200 FE 15W30 (TOT)"/>
                    <xsd:enumeration value="RUBIA 7400 15W40 (TOT)"/>
                    <xsd:enumeration value="RUBIA 8900 FE 10W30 (TOT)"/>
                    <xsd:enumeration value="RUBIA A 50 (TOT)"/>
                    <xsd:enumeration value="RUBIA B 40 (TOT)"/>
                    <xsd:enumeration value="RUBIA B 50 (TOT)"/>
                    <xsd:enumeration value="RUBIA C 10W (TOT)"/>
                    <xsd:enumeration value="RUBIA C 30 (TOT)"/>
                    <xsd:enumeration value="RUBIA C 40 (TOT)"/>
                    <xsd:enumeration value="RUBIA C 50 (TOT)"/>
                    <xsd:enumeration value="RUBIA C4 15W40 (TOT)"/>
                    <xsd:enumeration value="RUBIA CF 2 (TOT)"/>
                    <xsd:enumeration value="RUBIA CF 2 40 (TOT)"/>
                    <xsd:enumeration value="RUBIA CITY &amp; ROAD (TOT)"/>
                    <xsd:enumeration value="RUBIA DH-2 15W40 (TOT)"/>
                    <xsd:enumeration value="RUBIA DH-2 FE 10W30 (TOT)"/>
                    <xsd:enumeration value="RUBIA FLEET HD 200 15W40 (TOT)"/>
                    <xsd:enumeration value="RUBIA FLEET HD 200 20W40 (TOT)"/>
                    <xsd:enumeration value="RUBIA FLEET HD 200 20W50 (TOT)"/>
                    <xsd:enumeration value="RUBIA FLEET HD 300 10W30 (TOT)"/>
                    <xsd:enumeration value="RUBIA FLEET HD 300 15W40 (TOT)"/>
                    <xsd:enumeration value="RUBIA FLEET HD 300 15W50 (TOT)"/>
                    <xsd:enumeration value="RUBIA FLEET HD 300 20W50 (TOT)"/>
                    <xsd:enumeration value="RUBIA FLEET HD 400 15W40 (TOT)"/>
                    <xsd:enumeration value="RUBIA FLEET HD 400 20W50 (TOT)"/>
                    <xsd:enumeration value="RUBIA FLEET HD 500 15W40 (TOT)"/>
                    <xsd:enumeration value="RUBIA FLEET HD 500 20W50 (TOT)"/>
                    <xsd:enumeration value="RUBIA FLEET HD 700 15W40 (TOT)"/>
                    <xsd:enumeration value="RUBIA FLEET HD 700 20W50 (TOT)"/>
                    <xsd:enumeration value="RUBIA FLEET HD 900 10W30  (TOT)"/>
                    <xsd:enumeration value="RUBIA FLEET HD 900 10W40 (TOT)"/>
                    <xsd:enumeration value="RUBIA FLEET HD 900 15W40 (TOT)"/>
                    <xsd:enumeration value="RUBIA FLEET HD 900 20W50 (TOT)"/>
                    <xsd:enumeration value="RUBIA FLEET HD200 SAE 30 (TOT)"/>
                    <xsd:enumeration value="RUBIA FLEET HD200 SAE 40 (TOT)"/>
                    <xsd:enumeration value="RUBIA FLEET HD200 SAE 50 (TOT)"/>
                    <xsd:enumeration value="RUBIA FLEET HD200 SAE10W (TOT)"/>
                    <xsd:enumeration value="RUBIA FP 40 (TOT)"/>
                    <xsd:enumeration value="RUBIA G 13 SAE 40 (TOT)"/>
                    <xsd:enumeration value="RUBIA G 1300 20W40 (TOT)"/>
                    <xsd:enumeration value="RUBIA G 1300 SAE 40 (TOT)"/>
                    <xsd:enumeration value="RUBIA G 17 SAE 40 (TOT)"/>
                    <xsd:enumeration value="RUBIA G 1700 20W40 (TOT)"/>
                    <xsd:enumeration value="RUBIA G 1700 SAE 40 (TOT)"/>
                    <xsd:enumeration value="RUBIA G13 20W40"/>
                    <xsd:enumeration value="RUBIA G9 20W40 (TOT)"/>
                    <xsd:enumeration value="RUBIA G9 SAE 40 (TOT)"/>
                    <xsd:enumeration value="RUBIA GAS 15W40 (TOT)"/>
                    <xsd:enumeration value="RUBIA GAS 5M 15W40 (TOT)"/>
                    <xsd:enumeration value="RUBIA GAS 5M 15W40 (TOT)"/>
                    <xsd:enumeration value="RUBIA GAS 5M 20W50 (TOT)"/>
                    <xsd:enumeration value="RUBIA HYD D08023A FF (TOT)"/>
                    <xsd:enumeration value="RUBIA MT 30 (TOT)"/>
                    <xsd:enumeration value="RUBIA MT 40 (TOT)"/>
                    <xsd:enumeration value="RUBIA OPT.1100 15W40 (TOT)"/>
                    <xsd:enumeration value="RUBIA OPT.1100 FE 10W30 (TOT)"/>
                    <xsd:enumeration value="RUBIA OPT.2100 XFE 10W30 (TOT)"/>
                    <xsd:enumeration value="RUBIA POLYTRAFIC 10W40 (TOT)"/>
                    <xsd:enumeration value="RUBIA S 10W (TOT)"/>
                    <xsd:enumeration value="RUBIA S 20W20 (TOT)"/>
                    <xsd:enumeration value="RUBIA S 30 (TOT)"/>
                    <xsd:enumeration value="RUBIA S 40 (TOT)"/>
                    <xsd:enumeration value="RUBIA S 50 (TOT)"/>
                    <xsd:enumeration value="RUBIA ST 315 (TOT)"/>
                    <xsd:enumeration value="RUBIA ST 320 (TOT)"/>
                    <xsd:enumeration value="RUBIA ST 415 (TOT)"/>
                    <xsd:enumeration value="RUBIA ST 420 (TOT)"/>
                    <xsd:enumeration value="RUBIA TIR 6400 15W40 (TOT)"/>
                    <xsd:enumeration value="RUBIA TIR 6600 10W30 (TOT)"/>
                    <xsd:enumeration value="RUBIA TIR 6600 15W40 (TOT)"/>
                    <xsd:enumeration value="RUBIA TIR 6600 20W50 (TOT)"/>
                    <xsd:enumeration value="RUBIA TIR 7200 FE 15W30 (TOT)"/>
                    <xsd:enumeration value="RUBIA TIR 7400 15W40 (TOT)"/>
                    <xsd:enumeration value="RUBIA TIR 7400 20W50 (TOT)"/>
                    <xsd:enumeration value="RUBIA TIR 7400 FE 10W30 (TOT)"/>
                    <xsd:enumeration value="RUBIA TIR 7400 SC 15W40 (TOT)"/>
                    <xsd:enumeration value="RUBIA TIR 7800 15W40 (TOT)"/>
                    <xsd:enumeration value="RUBIA TIR 7900 0W-30 (TOT)"/>
                    <xsd:enumeration value="RUBIA TIR 7900 0W-40 (TOT)"/>
                    <xsd:enumeration value="RUBIA TIR 7900 10W-40 (TOT)"/>
                    <xsd:enumeration value="RUBIA TIR 7900 15W40 (TOT)"/>
                    <xsd:enumeration value="RUBIA TIR 7900 20W50 (TOT)"/>
                    <xsd:enumeration value="RUBIA TIR 7900 5W40 (TOT)"/>
                    <xsd:enumeration value="RUBIA TIR 7900 CJ4 15W40 (TOT)"/>
                    <xsd:enumeration value="RUBIA TIR 7900 FE 10W30 (TOT)"/>
                    <xsd:enumeration value="RUBIA TIR 8600 10W40 (TOT)"/>
                    <xsd:enumeration value="RUBIA TIR 8600 FE 10W30 (TOT)"/>
                    <xsd:enumeration value="RUBIA TIR 8800 10W40 (TOT)"/>
                    <xsd:enumeration value="RUBIA TIR 8900 10W40 (TOT)"/>
                    <xsd:enumeration value="RUBIA TIR 8900 FE 10W30 (TOT)"/>
                    <xsd:enumeration value="RUBIA TIR 9200 FE 5W30 (TOT)"/>
                    <xsd:enumeration value="RUBIA TIR 9900 10W40 (TOT)"/>
                    <xsd:enumeration value="RUBIA TIR 9900 FE 5W30 (TOT)"/>
                    <xsd:enumeration value="RUBIA TIR9900 IVEFE 5W30 (TOT)"/>
                    <xsd:enumeration value="RUBIA WORKS 1000 15W40 (TOT)"/>
                    <xsd:enumeration value="RUBIA WORKS 2000 10W40 (TOT)"/>
                    <xsd:enumeration value="RUBIA WORKS 2000 FE10W30 (TOT)"/>
                    <xsd:enumeration value="RUBIA WORKS 2500 10W40 (TOT)"/>
                    <xsd:enumeration value="RUBIA WORKS 3000 FE 5W30 (TOT)"/>
                    <xsd:enumeration value="RUBIA XT 15W40 (TOT)"/>
                    <xsd:enumeration value="RUBIA XT 20W50 (TOT)"/>
                    <xsd:enumeration value="RUBIA ZS 30 (TOT)"/>
                    <xsd:enumeration value="S7000 10W40 (SYM)"/>
                    <xsd:enumeration value="SC LA FF D08007A 10W40 (SCA)"/>
                    <xsd:enumeration value="SCHINDLER DZF 46 (SCH)"/>
                    <xsd:enumeration value="SCHINDLER HLP 46 (SCH)"/>
                    <xsd:enumeration value="SCHINDLER MS 220 (SCH)"/>
                    <xsd:enumeration value="SCHINDLER MS 68 (SCH)"/>
                    <xsd:enumeration value="SCOOTER 2 CITY JUMPER (ELF)"/>
                    <xsd:enumeration value="SCOOTER 2 SELF MIX (ELF)"/>
                    <xsd:enumeration value="SCOOTER 2 STREET (ELF)"/>
                    <xsd:enumeration value="SCOOTER 2 STREET MAX (ELF)"/>
                    <xsd:enumeration value="SCOOTER 4 CITY 10W40 (ELF)"/>
                    <xsd:enumeration value="SCOOTER 4 MAXI CITY 5W40 (ELF)"/>
                    <xsd:enumeration value="SCOOTER 4 STRADA (ELF)"/>
                    <xsd:enumeration value="SEF 4632 (ELF)"/>
                    <xsd:enumeration value="SEF 4632 (TOT)"/>
                    <xsd:enumeration value="SELLETTE 2 (NEU)"/>
                    <xsd:enumeration value="SELLETTE 2 (RTO)"/>
                    <xsd:enumeration value="SERADE ACR FERROUS (TOT)"/>
                    <xsd:enumeration value="SERADE ACR NON FERROUS (TOT)"/>
                    <xsd:enumeration value="SERADE AFM EMULSION (TOT)"/>
                    <xsd:enumeration value="SERADE AFM SYNTHETIC (TOT)"/>
                    <xsd:enumeration value="SERADE AW EMULSION (TOT)"/>
                    <xsd:enumeration value="SERADE AW SYNTHETIC (TOT)"/>
                    <xsd:enumeration value="SERADE STAB EMULSION (TOT)"/>
                    <xsd:enumeration value="SERADE STAB SYNTHETIC (TOT)"/>
                    <xsd:enumeration value="SERADE WQ BUFFER (TOT)"/>
                    <xsd:enumeration value="SERADE WQ MINUS (TOT)"/>
                    <xsd:enumeration value="SERADE WQ PLUS (TOT)"/>
                    <xsd:enumeration value="SERIOLA 1510 (TOT)"/>
                    <xsd:enumeration value="SERIOLA 320 (TOT)"/>
                    <xsd:enumeration value="SERIOLA D (TOT)"/>
                    <xsd:enumeration value="SERIOLA D TH (TOT)"/>
                    <xsd:enumeration value="SERIOLA ETA 100 (TOT)"/>
                    <xsd:enumeration value="SERIOLA ETA 32 (TOT)"/>
                    <xsd:enumeration value="SERIOLA K 3120 (TOT)"/>
                    <xsd:enumeration value="SERIOLA KL 1120 (TOT)"/>
                    <xsd:enumeration value="SERIOLA QA 46 (TOT)"/>
                    <xsd:enumeration value="SIDUREX EP 1 JEP 1 (NEU)"/>
                    <xsd:enumeration value="SIDUREX EP 2 JEP 2 (IMP)"/>
                    <xsd:enumeration value="SIDUREX JEP 0 (NEU)"/>
                    <xsd:enumeration value="SIDUREX JEP 3 (NEU)"/>
                    <xsd:enumeration value="SKF LHCA 150 (SKF)"/>
                    <xsd:enumeration value="SKF LHCA 220 (SKF)"/>
                    <xsd:enumeration value="SKF LHCA 320 (SKF)"/>
                    <xsd:enumeration value="SKF LHCA 460 (SKF)"/>
                    <xsd:enumeration value="SKF LHHA 100 (SKF)"/>
                    <xsd:enumeration value="SKF LHHA 32 (SKF)"/>
                    <xsd:enumeration value="SKF LHHA 46 (SKF)"/>
                    <xsd:enumeration value="SKF LHHA 68 (SKF)"/>
                    <xsd:enumeration value="SOLARIS FE 5W30 (ELF)"/>
                    <xsd:enumeration value="SOLARIS LLX 5W30 (ELF)"/>
                    <xsd:enumeration value="SOLARIS LSX 5W40 (ELF)"/>
                    <xsd:enumeration value="SOLARIS MSX 5W30 (ELF)"/>
                    <xsd:enumeration value="SOLUBLE (RTO)"/>
                    <xsd:enumeration value="SP. ENG. OIL CH-4 15W40 (SAY)"/>
                    <xsd:enumeration value="SP. ENG. OIL CI-4 15W40 (SAY)"/>
                    <xsd:enumeration value="SP. ENG. OIL CJ-4 15W40 (SAY)"/>
                    <xsd:enumeration value="SP. G.BOX OIL GL5 80W90 (SAY)"/>
                    <xsd:enumeration value="SP. G.BOX OIL GL5 85W140 (SAY)"/>
                    <xsd:enumeration value="SP. GEAR OIL EP 150 (SAY)"/>
                    <xsd:enumeration value="SP.ENG.OIL CJ-4 10W-30 (SAY)"/>
                    <xsd:enumeration value="SPECIAL 2T (TOT)"/>
                    <xsd:enumeration value="SPECIAL 4T 20W50 (TOT)"/>
                    <xsd:enumeration value="SPECIS B 4851-2 (TOT)"/>
                    <xsd:enumeration value="SPECIS CU (TOT)"/>
                    <xsd:enumeration value="SPHEEROL TN (NEU)"/>
                    <xsd:enumeration value="SPICA FLUIDE 00 (NEU)"/>
                    <xsd:enumeration value="SPINDLE A 01 (TOT)"/>
                    <xsd:enumeration value="SPIRIT 3000 (TOT)"/>
                    <xsd:enumeration value="SPIRIT 5000 (TOT)"/>
                    <xsd:enumeration value="SPIRIT 7000 DE (TOT)"/>
                    <xsd:enumeration value="SPIRIT ASI 7000 (TOT)"/>
                    <xsd:enumeration value="SPIRIT MS 5000 (TOT)"/>
                    <xsd:enumeration value="SPIRIT MS 5100 (TOT)"/>
                    <xsd:enumeration value="SPIRIT MSF 5200 (TOT)"/>
                    <xsd:enumeration value="SPIRIT WBA 5600 (TOT)"/>
                    <xsd:enumeration value="SPIRIT WBF 3400 (TOT)"/>
                    <xsd:enumeration value="SPIRIT WBF 5400 (TOT)"/>
                    <xsd:enumeration value="SPIRIT WBF 7200 (TOT)"/>
                    <xsd:enumeration value="SPORTI Q 10W30 (ELF)"/>
                    <xsd:enumeration value="SPORTI Q 15W40 (ELF)"/>
                    <xsd:enumeration value="SPORTI Q 20W50 (ELF)"/>
                    <xsd:enumeration value="SPORTI Q 5W30 (ELF)"/>
                    <xsd:enumeration value="SPORTI SRI 15W40 (ELF)"/>
                    <xsd:enumeration value="SPORTI T 10W30 (ELF)"/>
                    <xsd:enumeration value="SPORTI T 20W50 (ELF)"/>
                    <xsd:enumeration value="SPORTI T 5W30 (ELF)"/>
                    <xsd:enumeration value="SPORTI TXI 10W40 (ELF)"/>
                    <xsd:enumeration value="SPORTI TXI 15W40 (ELF)"/>
                    <xsd:enumeration value="SPORTI TXI 20W50 (ELF)"/>
                    <xsd:enumeration value="SPORTI TXI 5W30 (ELF)"/>
                    <xsd:enumeration value="SPORTI TXI 5W40 (ELF)"/>
                    <xsd:enumeration value="SPORTI TXI C2/C3 5W30 (ELF)"/>
                    <xsd:enumeration value="SPORTI TXI C3 5W30 (ELF)"/>
                    <xsd:enumeration value="SPORTI XP 10W40 (ELF)"/>
                    <xsd:enumeration value="SPORTI XP 20W50 (ELF)"/>
                    <xsd:enumeration value="SPORTI XP 5W30 (ELF)"/>
                    <xsd:enumeration value="ST 15 M (RTO)"/>
                    <xsd:enumeration value="ST 150 M (RTO)"/>
                    <xsd:enumeration value="ST 22 M (RTO)"/>
                    <xsd:enumeration value="ST 32 M (RTO)"/>
                    <xsd:enumeration value="ST 46 M (RTO)"/>
                    <xsd:enumeration value="ST 68 M (RTO)"/>
                    <xsd:enumeration value="STABILEX 2 (NEU)"/>
                    <xsd:enumeration value="STAR MAX FE 10W30 (TOT)"/>
                    <xsd:enumeration value="STAR TRANS 80W110 (TOT)"/>
                    <xsd:enumeration value="STAR XL (TOT)"/>
                    <xsd:enumeration value="STARMATIC 3 (RTO)"/>
                    <xsd:enumeration value="START 15W40 (ELF)"/>
                    <xsd:enumeration value="STATERMA SP 2 (TOT)"/>
                    <xsd:enumeration value="STATERMELF EP 2 (TOT)"/>
                    <xsd:enumeration value="STATERMIC NR (TOT)"/>
                    <xsd:enumeration value="STATERMIC XHT (TOT)"/>
                    <xsd:enumeration value="STC 100 (RTO)"/>
                    <xsd:enumeration value="STC 2 (TOT)"/>
                    <xsd:enumeration value="STC 46 (RTO)"/>
                    <xsd:enumeration value="STEELBLACK (NEU)"/>
                    <xsd:enumeration value="STO 1:0 AXLE OIL 75W140 (SCA)"/>
                    <xsd:enumeration value="STO 1:0 AXLE OIL 80W140 (SCA)"/>
                    <xsd:enumeration value="STO 1:0 AXLE OIL 85W140 (SCA)"/>
                    <xsd:enumeration value="STO 1:0 GEARBOX OIL75W90 (SCA)"/>
                    <xsd:enumeration value="STO 2:0 GEARBOX OIL 75W90 (SCA)"/>
                    <xsd:enumeration value="STO 2:0A AXLE OIL 75W140 (SCA)"/>
                    <xsd:enumeration value="STO1:0 GEARBOX OIL 80W90 (SCA)"/>
                    <xsd:enumeration value="STT 32 (RTO)"/>
                    <xsd:enumeration value="STT 68 (RTO)"/>
                    <xsd:enumeration value="SUPER 15W40 API CH-4/SJ (KAO)"/>
                    <xsd:enumeration value="SUPER BMO (ELA)"/>
                    <xsd:enumeration value="SUPER H 15W40 (GUL)"/>
                    <xsd:enumeration value="SUPER H 20W50 (GUL)"/>
                    <xsd:enumeration value="SUPER HORS BORD (TOT)"/>
                    <xsd:enumeration value="SUPER S 10W40 (GUL)"/>
                    <xsd:enumeration value="SUPER SPORTI FT 10W40 (ELF)"/>
                    <xsd:enumeration value="SUPER SPORTI FT 15W40 (ELF)"/>
                    <xsd:enumeration value="SUPER SPORTI FT 15W50 (ELF)"/>
                    <xsd:enumeration value="SUPER SPORTI FT 20W50 (ELF)"/>
                    <xsd:enumeration value="SUPER SPORTI FTX 10W30 (ELF)"/>
                    <xsd:enumeration value="SUPER SPORTI FTX 5W30 (ELF)"/>
                    <xsd:enumeration value="SUPER SPORTI SM 15W50 (ELF)"/>
                    <xsd:enumeration value="SUPER TRANSHYD 400 (YAC)"/>
                    <xsd:enumeration value="SUPER TRANSHYD 500 (YAC)"/>
                    <xsd:enumeration value="SUPER UNIV. OIL 10W40 (FIN)"/>
                    <xsd:enumeration value="SUPER UNIV. OIL 15W40 (FIN)"/>
                    <xsd:enumeration value="SUPERMATEX SPG 10 (PTN)"/>
                    <xsd:enumeration value="SUPEROL MX2 (RTO)"/>
                    <xsd:enumeration value="SUPERTRANS EPX 75W80 (RTO)"/>
                    <xsd:enumeration value="SUPERTRANS EPX 80W90 (RTO)"/>
                    <xsd:enumeration value="SUPRA GEC (TOT)"/>
                    <xsd:enumeration value="SUPRA GEC V (TOT)"/>
                    <xsd:enumeration value="SUPRA RED (TOT)"/>
                    <xsd:enumeration value="SUPRAMIX (FIN)"/>
                    <xsd:enumeration value="SUPREME P7 10W40 (TOT)"/>
                    <xsd:enumeration value="SUPREME P7 15W50 SM (TOT)"/>
                    <xsd:enumeration value="SUPREME P9 10W50 SM (TOT)"/>
                    <xsd:enumeration value="SUPREME P9 5W40 (TOT)"/>
                    <xsd:enumeration value="SYMOIL B8300 10W50 (SYM)"/>
                    <xsd:enumeration value="SYMOIL B8600 10W50 (SYM)"/>
                    <xsd:enumeration value="SYMOIL B9600 10W50 (SYM)"/>
                    <xsd:enumeration value="SYMOIL B9800 10W50 (SYM)"/>
                    <xsd:enumeration value="SYMOIL F8000 10W50 (SYM)"/>
                    <xsd:enumeration value="SYMOIL F8600 10W50 (SYM)"/>
                    <xsd:enumeration value="SYMOIL M300 15W40 (SYM)"/>
                    <xsd:enumeration value="SYMOIL M500 20W50 (SYM)"/>
                    <xsd:enumeration value="SYMOIL M600 SN 15W50 (SYM)"/>
                    <xsd:enumeration value="SYMOIL S7000 10W40 (SYM)"/>
                    <xsd:enumeration value="SYN AXLE OIL 97312 (VOL)"/>
                    <xsd:enumeration value="SYN GEARBOX OIL 97307 (VOL)"/>
                    <xsd:enumeration value="SYNTHERMA P 125 (TOT)"/>
                    <xsd:enumeration value="SYNTHESIA 5W40 (ELA)"/>
                    <xsd:enumeration value="SYNTHETIC 5W40 (TOT)"/>
                    <xsd:enumeration value="SYNTHETIC GEAR LUB 75W90 (GUL)"/>
                    <xsd:enumeration value="SYNTIPRO 10W40 (TOT)"/>
                    <xsd:enumeration value="TAPPING SPRAY TRD (HER)"/>
                    <xsd:enumeration value="TDI 15W40 (GUL)"/>
                    <xsd:enumeration value="TEXINOL 3820 (PTN)"/>
                    <xsd:enumeration value="TEXINOL 50 FT (TXL)"/>
                    <xsd:enumeration value="TEXINOL CP 209 (TXL)"/>
                    <xsd:enumeration value="TEXINOL FC 3093 (TXL)"/>
                    <xsd:enumeration value="TEXINOL FCT 95 (TXL)"/>
                    <xsd:enumeration value="TEXINOL FPC 3153 (TXL)"/>
                    <xsd:enumeration value="TEXINOL LC 2081 (TXL)"/>
                    <xsd:enumeration value="TIFORA PG (TOT)"/>
                    <xsd:enumeration value="TIFORA TJ (ELF)"/>
                    <xsd:enumeration value="TIPHA SA 2 (NEU)"/>
                    <xsd:enumeration value="TIXO SEW 300 (TXL)"/>
                    <xsd:enumeration value="TIXO SEW 400 (TXL)"/>
                    <xsd:enumeration value="TIXO SEW 500 (TXL)"/>
                    <xsd:enumeration value="TIXO SEW 580 (TXL)"/>
                    <xsd:enumeration value="TIXO SLIDE 22 (TXL)"/>
                    <xsd:enumeration value="TIXO SLIDE 32 (TXL)"/>
                    <xsd:enumeration value="TIXO SLIDE 46 (TXL)"/>
                    <xsd:enumeration value="TIXO SLIDE CO 22 (TXL)"/>
                    <xsd:enumeration value="TIXO SLIDE EM 22 SP (TXL)"/>
                    <xsd:enumeration value="TIXO SLIDE EM 32 SP (TXL)"/>
                    <xsd:enumeration value="TIXO SLIDE EM 46 SP (TXL)"/>
                    <xsd:enumeration value="TIXO SLIDE PE 27 (TXL)"/>
                    <xsd:enumeration value="TIXO SLIDE PRE 22 (TXL)"/>
                    <xsd:enumeration value="TIXO SLIDE PRE 32 (TXL)"/>
                    <xsd:enumeration value="TIXO SLIDE PRE 46 (TXL)"/>
                    <xsd:enumeration value="TIXO SLIDE TH 27 (TXL)"/>
                    <xsd:enumeration value="TIXO SLIDE TH 40 (TXL)"/>
                    <xsd:enumeration value="TIXO SLIDE WEM 22 (TXL)"/>
                    <xsd:enumeration value="TIXO SLIDE WEM 32 (TXL)"/>
                    <xsd:enumeration value="TIXO SLIDE WEM 46 (TXL)"/>
                    <xsd:enumeration value="TIXO STAINLESS 22 (TXL)"/>
                    <xsd:enumeration value="TIXO STAINLESS 32 (TXL)"/>
                    <xsd:enumeration value="TORILIS 2500 (TOT)"/>
                    <xsd:enumeration value="TORILIS 6200 (TOT)"/>
                    <xsd:enumeration value="TORILIS 7200 (TOT)"/>
                    <xsd:enumeration value="TORILIS HC 1850 (TOT)"/>
                    <xsd:enumeration value="TORILIS HC 2500 (TOT)"/>
                    <xsd:enumeration value="TORILIS HC 6200 (TOT)"/>
                    <xsd:enumeration value="TOTAL HYDRAULIC OIL 68 G (TOT)"/>
                    <xsd:enumeration value="TOURISME 15W40 (ELA)"/>
                    <xsd:enumeration value="TP MAX 10W40 (TOT)"/>
                    <xsd:enumeration value="TP STAR MAX FE 10W30 (TOT)"/>
                    <xsd:enumeration value="TP STAR MAX HT 15W40 (TOT)"/>
                    <xsd:enumeration value="TP STAR TRANS 80W110 (TOT)"/>
                    <xsd:enumeration value="TP STAR TRANS 85W110 (TOT)"/>
                    <xsd:enumeration value="TPM 4447 M (ELF)"/>
                    <xsd:enumeration value="TPM 4447 M 75W80 (ELF)"/>
                    <xsd:enumeration value="TPM 4447 R (ELF)"/>
                    <xsd:enumeration value="TPM 4449 (ELF)"/>
                    <xsd:enumeration value="TPM 4501 (ELF)"/>
                    <xsd:enumeration value="TPM 4501 G (ELF)"/>
                    <xsd:enumeration value="TPM 7329S (ELF)"/>
                    <xsd:enumeration value="TPM 97315 (TOT)"/>
                    <xsd:enumeration value="TPM B06146 (TOT)"/>
                    <xsd:enumeration value="TPM EPB 80W90 DF (TOT)"/>
                    <xsd:enumeration value="TPM TDL 75W90 (NEU)"/>
                    <xsd:enumeration value="TPM UNIVERSAL FE 80W90 (ELF)"/>
                    <xsd:enumeration value="TRACTAGRI HDM 15W40 (TOT)"/>
                    <xsd:enumeration value="TRACTAGRI HDX 15W40 (TOT)"/>
                    <xsd:enumeration value="TRACTAGRI HDX FE 15W30 (TOT)"/>
                    <xsd:enumeration value="TRACTAGRI HDX SYN 10W40 (TOT)"/>
                    <xsd:enumeration value="TRACTAGRI HDX SYNFE10W30 (TOT)"/>
                    <xsd:enumeration value="TRACTAGRI HDY 10W40 (TOTAL)"/>
                    <xsd:enumeration value="TRACTAGRI HDZ 10W40 (TOT)"/>
                    <xsd:enumeration value="TRACTAGRI HDZ 15W40 (TOT)"/>
                    <xsd:enumeration value="TRACTAGRI HDZ FE 10W30 (TOT)"/>
                    <xsd:enumeration value="TRACTAGRI T4R 10W40 (TOTAL)"/>
                    <xsd:enumeration value="TRACTAGRI T4R FE 5W30 (TOTAL)"/>
                    <xsd:enumeration value="TRACTELF BF 12 (ELF)"/>
                    <xsd:enumeration value="TRACTELF BF 16 (ELF)"/>
                    <xsd:enumeration value="TRACTELF BF20 FE (ELF)"/>
                    <xsd:enumeration value="TRACTELF BLS 80W90 (ELF)"/>
                    <xsd:enumeration value="TRACTELF CVT 10W30 (ELF)"/>
                    <xsd:enumeration value="TRACTELF KTR4 10W (ELF)"/>
                    <xsd:enumeration value="TRACTELF KTR4 30 (ELF)"/>
                    <xsd:enumeration value="TRACTELF KTR4 50 (ELF)"/>
                    <xsd:enumeration value="TRACTELF SF 3 (ELF)"/>
                    <xsd:enumeration value="TRACTORELF ST3 10W30 (ELF)"/>
                    <xsd:enumeration value="TRACTORELF ST3 15W30 (ELF)"/>
                    <xsd:enumeration value="TRACTORELF ST3 15W40 (ELF)"/>
                    <xsd:enumeration value="TRACTORELF ULTRA 10W40 (ELF)"/>
                    <xsd:enumeration value="TRANS AGRI RX (RTO)"/>
                    <xsd:enumeration value="TRANS EP 80W (ELA)"/>
                    <xsd:enumeration value="TRANS EPR 80W90 (ELA)"/>
                    <xsd:enumeration value="TRANS EPR 85W140 (ELA)"/>
                    <xsd:enumeration value="TRANS FE 75W80 (ELA)"/>
                    <xsd:enumeration value="TRANS FE 75W90 (ELA)"/>
                    <xsd:enumeration value="TRANS LS 90 (ELA)"/>
                    <xsd:enumeration value="TRANS. AXLE 7 80W90 (TOT)"/>
                    <xsd:enumeration value="TRANS. AXLE 7 85W140 (TOT)"/>
                    <xsd:enumeration value="TRANS. AXLE 7 85W90 (TOT)"/>
                    <xsd:enumeration value="TRANS. AXLE 8 75W90 (TOT)"/>
                    <xsd:enumeration value="TRANS. AXLE 8 80W90 (TOT)"/>
                    <xsd:enumeration value="TRANS. AXLE 8 FE 75W140 (TOT)"/>
                    <xsd:enumeration value="TRANS. AXLE 8 FE 80W140 (TOT)"/>
                    <xsd:enumeration value="TRANS. AXLE 9 80W90 (TOT)"/>
                    <xsd:enumeration value="TRANS. AXLE 9 FE 75W140 (TOT)"/>
                    <xsd:enumeration value="TRANS. AXLE 9 FE 75W90 (TOT)"/>
                    <xsd:enumeration value="TRANS. DUAL 8 FE 80W90 (TOT)"/>
                    <xsd:enumeration value="TRANS. DUAL 9 FE 75W90 (TOT)"/>
                    <xsd:enumeration value="TRANS. GEAR 7 80W85   (TOT)"/>
                    <xsd:enumeration value="TRANS. GEAR 7 80W90 (TOT)"/>
                    <xsd:enumeration value="TRANS. GEAR 7 85W90 (TOT)"/>
                    <xsd:enumeration value="TRANS. GEAR 8 75W80 (TOT)"/>
                    <xsd:enumeration value="TRANS. GEAR 8 FE 75W80 (TOT)"/>
                    <xsd:enumeration value="TRANS. GEAR 9 FE 75W80 (TOT)"/>
                    <xsd:enumeration value="TRANS. GEAR 9 FE 75W90 (TOT)"/>
                    <xsd:enumeration value="TRANS. GEAR 9V FE 75W80 (TOT)"/>
                    <xsd:enumeration value="TRANS. GEAR 9V FE 75W90 (TOT)"/>
                    <xsd:enumeration value="TRANS. SYN FE 75W140 (TOT)"/>
                    <xsd:enumeration value="TRANS. SYN FE 75W90 (TOT)"/>
                    <xsd:enumeration value="TRANS. TM 80W90 (YUN)"/>
                    <xsd:enumeration value="TRANS. TM MULTI. 80W90 (TOT)"/>
                    <xsd:enumeration value="TRANS.RS FE 80W140 (TOT)"/>
                    <xsd:enumeration value="TRANSELF EP 80W (ELF)"/>
                    <xsd:enumeration value="TRANSELF EP 80W90 (ELF)"/>
                    <xsd:enumeration value="TRANSELF LD 75W80 (ELF)"/>
                    <xsd:enumeration value="TRANSELF NFJ 75W80 (ELF)"/>
                    <xsd:enumeration value="TRANSELF NFP 75W80 (ELF)"/>
                    <xsd:enumeration value="TRANSELF SYN FE 75W140 (ELF)"/>
                    <xsd:enumeration value="TRANSELF SYN FE 75W90 (ELF)"/>
                    <xsd:enumeration value="TRANSELF TYP B 90 (ELF)"/>
                    <xsd:enumeration value="TRANSELF TYP B80W90 (ELF)"/>
                    <xsd:enumeration value="TRANSELF TYP B85W140 (ELF)"/>
                    <xsd:enumeration value="TRANSELF UNIVERSAL FE 80W90 (ELF)"/>
                    <xsd:enumeration value="TRANSFLUID CA 10 W (GUL)"/>
                    <xsd:enumeration value="TRANSFLUID CA 30 (GUL)"/>
                    <xsd:enumeration value="TRANSFLUID CA 50 (GUL)"/>
                    <xsd:enumeration value="TRANSFLUID JD (GUL)"/>
                    <xsd:enumeration value="TRANSFLUID JDV (FIN)"/>
                    <xsd:enumeration value="TRANSFLUID LS 80W90 (FIN)"/>
                    <xsd:enumeration value="TRANSMIS. OIL PN 9163335 (GM)"/>
                    <xsd:enumeration value="TRANSMISSION 140 (TOT)"/>
                    <xsd:enumeration value="TRANSMISSION 90 (TOT)"/>
                    <xsd:enumeration value="TRANSMISSION BM 75W90 (TOT)"/>
                    <xsd:enumeration value="TRANSMISSION BV 75W80 (PSA)"/>
                    <xsd:enumeration value="TRANSMISSION BV 75W80 (TOT)"/>
                    <xsd:enumeration value="TRANSMISSION H6965 75W80 (TOT)"/>
                    <xsd:enumeration value="TRANSMISSION MDL 80W90 (TOT)"/>
                    <xsd:enumeration value="TRANSMISSION OIL 80W (DAE)"/>
                    <xsd:enumeration value="TRANSMISSION RS 85W140 (TOT)"/>
                    <xsd:enumeration value="TRANSMISSION RS FE 80W90 (TOT)"/>
                    <xsd:enumeration value="TRANSMISSION SYN SAE 50 (TOT)"/>
                    <xsd:enumeration value="TRANSMISSION THFI (TOT)"/>
                    <xsd:enumeration value="TRANSMISSION TI 75W80 (TOT)"/>
                    <xsd:enumeration value="TRANSMISSION TM 140 (TOT)"/>
                    <xsd:enumeration value="TRANSMISSION TM 85W140 (TOT)"/>
                    <xsd:enumeration value="TRANSMISSION TX 75W90 (TOT)"/>
                    <xsd:enumeration value="TRANSMISSION X4 80W90 (PSA)"/>
                    <xsd:enumeration value="TRANSMISSION X4 80W90 (TOT)"/>
                    <xsd:enumeration value="TRANSMISSION XI 75W90 (TOT)"/>
                    <xsd:enumeration value="TRANSMISSION XPM 80W90 (TOT)"/>
                    <xsd:enumeration value="TRANSMISSION XS FE 75W80 (TOT)"/>
                    <xsd:enumeration value="TRANSMISSION XSV FE 75W80 (TOT)"/>
                    <xsd:enumeration value="TRANSOMATIC (ELF)"/>
                    <xsd:enumeration value="TRANSPRO 40 15W40 (YAC)"/>
                    <xsd:enumeration value="TRANSPRO 45 SAE 10W40 (YAC)"/>
                    <xsd:enumeration value="TRANSTEC 4 75W90 (TOT)"/>
                    <xsd:enumeration value="TRANSTEC 4 80W90 (TOT)"/>
                    <xsd:enumeration value="TRANSTEC 4 85W140 (TOT)"/>
                    <xsd:enumeration value="TRANSTEC 4 85W90 (TOT)"/>
                    <xsd:enumeration value="TRANSTEC 5 75W90 (TOT)"/>
                    <xsd:enumeration value="TRANSTEC 5 80W90 (TOT)"/>
                    <xsd:enumeration value="TRANSTEC 5 85W140 (TOT)"/>
                    <xsd:enumeration value="TRANSTEC 5 SAE 140 (TOT)"/>
                    <xsd:enumeration value="TRONCONNEUSE (ELA)"/>
                    <xsd:enumeration value="TURBO 10W40 (ELA)"/>
                    <xsd:enumeration value="TURBO 200 10W40 (ELA)"/>
                    <xsd:enumeration value="TURBO DIESEL 10W40 (ELF)"/>
                    <xsd:enumeration value="TURBO DIESEL 15W40 (ELF)"/>
                    <xsd:enumeration value="TURBO LD 15W40 (ELA)"/>
                    <xsd:enumeration value="TURBO SYN 10W40 (ELA)"/>
                    <xsd:enumeration value="TURBO VI 15W40 (ELA)"/>
                    <xsd:enumeration value="TURBOCOOL CONCENTRATE (TOT)"/>
                    <xsd:enumeration value="TURBOCOOL READYMIX (TOT)"/>
                    <xsd:enumeration value="TURBONYCOIL 160 (NYC)"/>
                    <xsd:enumeration value="TURBONYCOIL 3516 (NYC)"/>
                    <xsd:enumeration value="TURBONYCOIL 600 (NYC)"/>
                    <xsd:enumeration value="TURBONYCOIL 640  (TOT)"/>
                    <xsd:enumeration value="TW ATF D2 (NEU)"/>
                    <xsd:enumeration value="TW GL5 80W90 (NEU)"/>
                    <xsd:enumeration value="TX AL 259 APZ (PTN)"/>
                    <xsd:enumeration value="TX LI 162 APZ (TXL)"/>
                    <xsd:enumeration value="TX LI 164 APZ (PTN)"/>
                    <xsd:enumeration value="ULTRA 10W40 JASO MA2 (WUR)"/>
                    <xsd:enumeration value="ULTRA 5W30 ESSENCE+DIES. (CAR)"/>
                    <xsd:enumeration value="ULTRA 5W30 FAP C2 (CAR)"/>
                    <xsd:enumeration value="ULTRA 5W30 FAP C3 (CAR)"/>
                    <xsd:enumeration value="ULTRA 5W40 ESSENCE+DIES. (CAR)"/>
                    <xsd:enumeration value="ULTRA 5W50 ESSENCE+DIES. (CAR)"/>
                    <xsd:enumeration value="ULTRACOOLING PLUS (RTO)"/>
                    <xsd:enumeration value="ULTRAMIX 2T (FIN)"/>
                    <xsd:enumeration value="UNIV. TRACTOR OIL 15W40 (GUL)"/>
                    <xsd:enumeration value="UNIVERSAL 15W40 JASO MA2 (WUR)"/>
                    <xsd:enumeration value="UNIVERSAL GREASE (TOT)"/>
                    <xsd:enumeration value="UREAGREASE 500 SYN (NEU)"/>
                    <xsd:enumeration value="UREAGREASE HDP 220 (NEU)"/>
                    <xsd:enumeration value="UREAGREASE HDP 460 (NEU)"/>
                    <xsd:enumeration value="UREAGREASE HV (NEU)"/>
                    <xsd:enumeration value="UREAGREASE SY 460 (NEU)"/>
                    <xsd:enumeration value="VACUUM PUMP OIL (TOT)"/>
                    <xsd:enumeration value="VALONA BR 9015 HC (TOT)"/>
                    <xsd:enumeration value="VALONA GLASSCUT (TOT)"/>
                    <xsd:enumeration value="VALONA GR 3003 HC (TOT)"/>
                    <xsd:enumeration value="VALONA GR 3005 HC (TOT)"/>
                    <xsd:enumeration value="VALONA GR 3008 HC (TOT)"/>
                    <xsd:enumeration value="VALONA GR 5005 HC (TOT)"/>
                    <xsd:enumeration value="VALONA GR 7007 HC (TOT)"/>
                    <xsd:enumeration value="VALONA GR 7012 HC (TOT)"/>
                    <xsd:enumeration value="VALONA GR 7522 HC (TOT)"/>
                    <xsd:enumeration value="VALONA GR 9011 HC (TOT)"/>
                    <xsd:enumeration value="VALONA GR 9018 HC (TOT)"/>
                    <xsd:enumeration value="VALONA MQL 3036 BIO (TOT)"/>
                    <xsd:enumeration value="VALONA MQL 3046 (TOT)"/>
                    <xsd:enumeration value="VALONA MQL 5035 (TOT)"/>
                    <xsd:enumeration value="VALONA MS 1022 (TOT)"/>
                    <xsd:enumeration value="VALONA MS 1032 (TOT)"/>
                    <xsd:enumeration value="VALONA MS 13  HC (TOT)"/>
                    <xsd:enumeration value="VALONA MS 20 HC"/>
                    <xsd:enumeration value="VALONA MS 3040  HC (TOT)"/>
                    <xsd:enumeration value="VALONA MS 36 HC (TOT)"/>
                    <xsd:enumeration value="VALONA MS 5009 HC (TOT)"/>
                    <xsd:enumeration value="VALONA MS 5020 HC (TOT)"/>
                    <xsd:enumeration value="VALONA MS 5032 HC (TOT)"/>
                    <xsd:enumeration value="VALONA MS 7009 HC (TOT)"/>
                    <xsd:enumeration value="VALONA MS 7023 HC (TOT)"/>
                    <xsd:enumeration value="VALONA MS 7046 HC (TOT)"/>
                    <xsd:enumeration value="VALONA MS 7116 HC (TOT)"/>
                    <xsd:enumeration value="VALONA ST 4011 F"/>
                    <xsd:enumeration value="VALONA ST 7016 (TOT)"/>
                    <xsd:enumeration value="VALONA ST 9013 HC (TOT)"/>
                    <xsd:enumeration value="VALONA ST 9037 HC (TOT)"/>
                    <xsd:enumeration value="VALONA ST 9122 HC (TOT)"/>
                    <xsd:enumeration value="VALONA ST 9520 (TOT)"/>
                    <xsd:enumeration value="VEGACOOLING PLUS (RTO)"/>
                    <xsd:enumeration value="VENT VERT 10W40 (ELF)"/>
                    <xsd:enumeration value="VENT VERT 10W40 SL (ELF)"/>
                    <xsd:enumeration value="VENT VERT 10W50 (ELF)"/>
                    <xsd:enumeration value="VITRELF 31 (TOT)"/>
                    <xsd:enumeration value="VULSOL GLASSCUT (TOT)"/>
                    <xsd:enumeration value="VULSOL MSF 5200 (TOT)"/>
                    <xsd:enumeration value="VULSOL MSF 7200 (TOT)"/>
                    <xsd:enumeration value="VULSOL WBF 7219 (TOT)"/>
                    <xsd:enumeration value="VX 1000 LL 5W40 (YAC)"/>
                    <xsd:enumeration value="VX 300 10W40 (YAC)"/>
                    <xsd:enumeration value="VX 300 15W50 (YAC)"/>
                    <xsd:enumeration value="VX 500 10W40 (YAC)"/>
                    <xsd:enumeration value="VX 600 5W40 (YAC)"/>
                    <xsd:enumeration value="WELD CLEANER A (HER)"/>
                    <xsd:enumeration value="WEX EP 2 (NEU)"/>
                    <xsd:enumeration value="WT SUPRA (TOT)"/>
                    <xsd:enumeration value="X MAR 15 SAE 40 (YAC)"/>
                    <xsd:enumeration value="XG-409 (SEA)"/>
                    <xsd:enumeration value="XO-10 (SEA)"/>
                    <xsd:enumeration value="XO-11 (SEA)"/>
                    <xsd:enumeration value="XO-290 (NEU)"/>
                    <xsd:enumeration value="XT 4426 (ELF)"/>
                    <xsd:enumeration value="XT 5850 (ELF)"/>
                    <xsd:enumeration value="Y9003 GREASE (TOT)"/>
                    <xsd:enumeration value="ZEPY (TOT)"/>
                    <xsd:enumeration value="ZETA SUPER 15W40 (EKO)"/>
                    <xsd:enumeration value="ZETA SUPER 20W50 (EKO)"/>
                    <xsd:enumeration value="ZF ECOFLUID A LIFE (TOT)"/>
                    <xsd:enumeration value="ZF ECOFLUID A PLUS (TOT)"/>
                    <xsd:enumeration value="ZF ECOFLUID M (ZF)"/>
                    <xsd:enumeration value="ZZ X TRANSMISSION 4WD 80W90 (TOT)"/>
                  </xsd:restriction>
                </xsd:simpleType>
              </xsd:element>
            </xsd:sequence>
          </xsd:extension>
        </xsd:complexContent>
      </xsd:complexType>
    </xsd:element>
    <xsd:element name="MARKET__x002f__MARCHE" ma:index="11" nillable="true" ma:displayName="MARKET_/_MARCHE" ma:internalName="MARKET__x002F__MARCH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</xsd:restriction>
                </xsd:simpleType>
              </xsd:element>
            </xsd:sequence>
          </xsd:extension>
        </xsd:complexContent>
      </xsd:complexType>
    </xsd:element>
    <xsd:element name="REF_YEAR__x002f__ANNEE" ma:index="12" nillable="true" ma:displayName="REF_YEAR_/_ANNEE" ma:default="2023" ma:format="Dropdown" ma:internalName="REF_YEAR__x002F__ANNEE">
      <xsd:simpleType>
        <xsd:restriction base="dms:Choice"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</xsd:restriction>
      </xsd:simpleType>
    </xsd:element>
    <xsd:element name="PERIOD" ma:index="13" nillable="true" ma:displayName="PERIOD" ma:format="RadioButtons" ma:internalName="PERIOD">
      <xsd:simpleType>
        <xsd:restriction base="dms:Choice">
          <xsd:enumeration value="Semester 1"/>
          <xsd:enumeration value="Semester 2"/>
          <xsd:enumeration value="Quarter 1"/>
          <xsd:enumeration value="Quarter 2"/>
          <xsd:enumeration value="Quarter 3"/>
          <xsd:enumeration value="Quarter 4"/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</xsd:restriction>
      </xsd:simpleType>
    </xsd:element>
    <xsd:element name="IDENTIFICATION_REFERENCE" ma:index="14" nillable="true" ma:displayName="IDENTIFICATION_REFERENCE" ma:description="Référence du doc ou du dossier" ma:internalName="IDENTIFICATION_REFERENCE">
      <xsd:simpleType>
        <xsd:restriction base="dms:Text">
          <xsd:maxLength value="50"/>
        </xsd:restriction>
      </xsd:simpleType>
    </xsd:element>
    <xsd:element name="DOC_DESCRIPTION" ma:index="15" nillable="true" ma:displayName="DOC_DESCRIPTION" ma:description="Répond à la question : Pourquoi lire le document ?" ma:internalName="DOC_DESCRIPTION">
      <xsd:simpleType>
        <xsd:restriction base="dms:Note">
          <xsd:maxLength value="255"/>
        </xsd:restriction>
      </xsd:simpleType>
    </xsd:element>
    <xsd:element name="DOC_STATUS" ma:index="16" ma:displayName="DOC_STATUS" ma:default="Update Version/Version Actuelle" ma:format="RadioButtons" ma:internalName="DOC_STATUS">
      <xsd:simpleType>
        <xsd:restriction base="dms:Choice">
          <xsd:enumeration value="Update Version/Version Actuelle"/>
          <xsd:enumeration value="Old Version/Ancienne version"/>
          <xsd:enumeration value="Archive"/>
          <xsd:enumeration value="Suppression"/>
        </xsd:restriction>
      </xsd:simple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7d7a317d-19e9-4a41-b675-f2bd41b4cab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99a50fc-8dff-4095-856e-2619cda1c7c8}" ma:internalName="TaxCatchAll" ma:showField="CatchAllData" ma:web="dc163805-5a8a-4bac-b0c0-60a9bfcd0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e573-fb93-452c-9f3b-7b87af48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Remark" ma:index="31" nillable="true" ma:displayName="Remark" ma:format="Dropdown" ma:internalName="Remark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55DE33-C1A5-4F20-B814-5EC50C36FAFB}">
  <ds:schemaRefs>
    <ds:schemaRef ds:uri="http://schemas.microsoft.com/office/2006/metadata/properties"/>
    <ds:schemaRef ds:uri="http://schemas.microsoft.com/office/infopath/2007/PartnerControls"/>
    <ds:schemaRef ds:uri="dc163805-5a8a-4bac-b0c0-60a9bfcd087a"/>
    <ds:schemaRef ds:uri="7e83e573-fb93-452c-9f3b-7b87af48cc96"/>
  </ds:schemaRefs>
</ds:datastoreItem>
</file>

<file path=customXml/itemProps2.xml><?xml version="1.0" encoding="utf-8"?>
<ds:datastoreItem xmlns:ds="http://schemas.openxmlformats.org/officeDocument/2006/customXml" ds:itemID="{08C24CE9-94B3-4210-8D15-1D41A5809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210950-82D4-49BA-967C-8DE6F1311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63805-5a8a-4bac-b0c0-60a9bfcd087a"/>
    <ds:schemaRef ds:uri="7e83e573-fb93-452c-9f3b-7b87af48c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Admin</vt:lpstr>
      <vt:lpstr>Prices Database</vt:lpstr>
      <vt:lpstr>Packaging Masterdata</vt:lpstr>
      <vt:lpstr>Customers Masterdata</vt:lpstr>
      <vt:lpstr>Standard EPL</vt:lpstr>
      <vt:lpstr>Products Masterdata</vt:lpstr>
      <vt:lpstr>V_Email_PBPCommon</vt:lpstr>
      <vt:lpstr>V_Email_PBPCostingManager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DMITRIEV</dc:creator>
  <cp:lastModifiedBy>Alexander DMITRIEV</cp:lastModifiedBy>
  <dcterms:created xsi:type="dcterms:W3CDTF">2015-06-05T18:17:20Z</dcterms:created>
  <dcterms:modified xsi:type="dcterms:W3CDTF">2026-05-31T14:42:08Z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0x0101007F85B960C90A7443AE9769C1277710FF</vt:lpwstr>
  </property>
</Properties>
</file>